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c3bfda6ab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lotures" sheetId="1" r:id="R5a81ae4f77c647e6"/>
    <x:sheet xmlns:r="http://schemas.openxmlformats.org/officeDocument/2006/relationships" name="02_Gabarits" sheetId="2" r:id="R2a6ae56443d7453e"/>
    <x:sheet xmlns:r="http://schemas.openxmlformats.org/officeDocument/2006/relationships" name="03_Sources" sheetId="3" r:id="R6f1ed55c38ca41f8"/>
    <x:sheet xmlns:r="http://schemas.openxmlformats.org/officeDocument/2006/relationships" name="04_Preuve" sheetId="4" r:id="Rd422d29a53774830"/>
    <x:sheet xmlns:r="http://schemas.openxmlformats.org/officeDocument/2006/relationships" name="00_Synthese" sheetId="5" r:id="R8a6324fc01b3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604916"/>
      <x:name val="Carlito"/>
    </x:font>
    <x:font>
      <x:b/>
      <x:sz val="11"/>
      <x:color rgb="FFFFFFFF"/>
      <x:name val="Carlito"/>
    </x:font>
    <x:font>
      <x:sz val="10"/>
      <x:color rgb="FF10262D"/>
      <x:name val="Carlito"/>
    </x:font>
    <x:font>
      <x:b/>
      <x:sz val="23"/>
      <x:color rgb="FFFFFFFF"/>
      <x:name val="Carlito"/>
    </x:font>
    <x:font>
      <x:sz val="12"/>
      <x:color rgb="FF604916"/>
      <x:name val="Carlito"/>
    </x:font>
    <x:font>
      <x:sz val="11"/>
      <x:color rgb="FF10262D"/>
      <x:name val="Carlito"/>
    </x:font>
    <x:font>
      <x:b/>
      <x:sz val="20"/>
      <x:color rgb="FF186B6A"/>
      <x:name val="Carlito"/>
    </x:font>
    <x:font>
      <x:sz val="11"/>
      <x:color rgb="FF5366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62D"/>
      </x:patternFill>
    </x:fill>
    <x:fill>
      <x:patternFill patternType="solid">
        <x:fgColor rgb="FFFFF0CE"/>
      </x:patternFill>
    </x:fill>
    <x:fill>
      <x:patternFill patternType="solid">
        <x:fgColor rgb="FF186B6A"/>
      </x:patternFill>
    </x:fill>
    <x:fill>
      <x:patternFill patternType="solid">
        <x:fgColor rgb="FFDDF0E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200" fontId="8" fillId="5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702aa775143bd" /><Relationship Type="http://schemas.openxmlformats.org/officeDocument/2006/relationships/theme" Target="/xl/theme/theme1.xml" Id="Re2ca24fd2d364817" /><Relationship Type="http://schemas.openxmlformats.org/officeDocument/2006/relationships/sharedStrings" Target="/xl/sharedStrings.xml" Id="R1d4ba7df599149ac" /><Relationship Type="http://schemas.openxmlformats.org/officeDocument/2006/relationships/worksheet" Target="/xl/worksheets/sheet1.xml" Id="R5a81ae4f77c647e6" /><Relationship Type="http://schemas.openxmlformats.org/officeDocument/2006/relationships/worksheet" Target="/xl/worksheets/sheet2.xml" Id="R2a6ae56443d7453e" /><Relationship Type="http://schemas.openxmlformats.org/officeDocument/2006/relationships/worksheet" Target="/xl/worksheets/sheet3.xml" Id="R6f1ed55c38ca41f8" /><Relationship Type="http://schemas.openxmlformats.org/officeDocument/2006/relationships/worksheet" Target="/xl/worksheets/sheet4.xml" Id="Rd422d29a53774830" /><Relationship Type="http://schemas.openxmlformats.org/officeDocument/2006/relationships/worksheet" Target="/xl/worksheets/sheet5.xml" Id="R8a6324fc01b346e2" /></Relationships>
</file>

<file path=xl/tables/table1.xml><?xml version="1.0" encoding="utf-8"?>
<x:table xmlns:x="http://schemas.openxmlformats.org/spreadsheetml/2006/main" id="1" name="T01Clotures" displayName="T01Clotures" ref="A4:G12" headerRowCount="1" totalsRowCount="0" totalsRowShown="0">
  <x:tableColumns count="7">
    <x:tableColumn id="1" name="ID"/>
    <x:tableColumn id="2" name="Lot P1"/>
    <x:tableColumn id="3" name="Chantier"/>
    <x:tableColumn id="4" name="Statut"/>
    <x:tableColumn id="5" name="Livraison / action"/>
    <x:tableColumn id="6" name="Critère de validation"/>
    <x:tableColumn id="7" name="Lim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Gabarits" displayName="T02Gabarits" ref="A4:H119" headerRowCount="1" totalsRowCount="0" totalsRowShown="0">
  <x:tableColumns count="8">
    <x:tableColumn id="1" name="UID"/>
    <x:tableColumn id="2" name="Sujet"/>
    <x:tableColumn id="3" name="Gabarit technique"/>
    <x:tableColumn id="4" name="Lot P1"/>
    <x:tableColumn id="5" name="Victimes compatibles"/>
    <x:tableColumn id="6" name="Choix autorisés"/>
    <x:tableColumn id="7" name="Raison / frontière"/>
    <x:tableColumn id="8" name="Statut artistiq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Sources" displayName="T03Sources" ref="A4:F9" headerRowCount="1" totalsRowCount="0" totalsRowShown="0">
  <x:tableColumns count="6">
    <x:tableColumn id="1" name="ID"/>
    <x:tableColumn id="2" name="Type"/>
    <x:tableColumn id="3" name="Chemin ou URL"/>
    <x:tableColumn id="4" name="Usage"/>
    <x:tableColumn id="5" name="Consultation"/>
    <x:tableColumn id="6" name="Limi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Preuve" displayName="T04Preuve" ref="A4:E44" headerRowCount="1" totalsRowCount="0" totalsRowShown="0">
  <x:tableColumns count="5">
    <x:tableColumn id="1" name="ID"/>
    <x:tableColumn id="2" name="Test"/>
    <x:tableColumn id="3" name="Résultat"/>
    <x:tableColumn id="4" name="Environnement"/>
    <x:tableColumn id="5" name="Preu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66ec2912ec4b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a1c38c1c394c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0ab1ae1b0241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a3431f49a4401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6" hidden="0" customWidth="1"/>
    <x:col min="4" max="4" width="19" hidden="0" customWidth="1"/>
    <x:col min="5" max="5" width="45" hidden="0" customWidth="1"/>
    <x:col min="6" max="6" width="43" hidden="0" customWidth="1"/>
    <x:col min="7" max="7" width="44" hidden="0" customWidth="1"/>
  </x:cols>
  <x:sheetData>
    <x:row r="1" ht="38" customHeight="1">
      <x:c r="A1" s="3" t="str">
        <x:v>R10 • lots techniques et travail restant</x:v>
      </x:c>
      <x:c r="B1" s="3"/>
      <x:c r="C1" s="3"/>
      <x:c r="D1" s="3"/>
      <x:c r="E1" s="3"/>
      <x:c r="F1" s="3"/>
      <x:c r="G1" s="3"/>
    </x:row>
    <x:row r="2" ht="44" customHeight="1">
      <x:c r="A2" s="8" t="str">
        <x:v>Statut VALIDÉ LOCAL : exécution locale seulement, sans clôture globale d’un lot du plan P1.</x:v>
      </x:c>
      <x:c r="B2" s="8"/>
      <x:c r="C2" s="8"/>
      <x:c r="D2" s="8"/>
      <x:c r="E2" s="8"/>
      <x:c r="F2" s="8"/>
      <x:c r="G2" s="8"/>
    </x:row>
    <x:row r="4" ht="28" customHeight="1">
      <x:c r="A4" s="14" t="str">
        <x:v>ID</x:v>
      </x:c>
      <x:c r="B4" s="14" t="str">
        <x:v>Lot P1</x:v>
      </x:c>
      <x:c r="C4" s="14" t="str">
        <x:v>Chantier</x:v>
      </x:c>
      <x:c r="D4" s="14" t="str">
        <x:v>Statut</x:v>
      </x:c>
      <x:c r="E4" s="14" t="str">
        <x:v>Livraison / action</x:v>
      </x:c>
      <x:c r="F4" s="14" t="str">
        <x:v>Critère de validation</x:v>
      </x:c>
      <x:c r="G4" s="14" t="str">
        <x:v>Limite</x:v>
      </x:c>
    </x:row>
    <x:row r="5" ht="58" customHeight="1">
      <x:c r="A5" s="20" t="str">
        <x:v>R10-INT</x:v>
      </x:c>
      <x:c r="B5" s="20" t="str">
        <x:v>F-{UID}-INT</x:v>
      </x:c>
      <x:c r="C5" s="20" t="str">
        <x:v>Intro des essais</x:v>
      </x:c>
      <x:c r="D5" s="20" t="str">
        <x:v>VALIDÉ LOCAL</x:v>
      </x:c>
      <x:c r="E5" s="20" t="str">
        <x:v>Démarrer affiche l’intro ; sauter, suspendre, reprendre et avancer un tick.</x:v>
      </x:c>
      <x:c r="F5" s="20" t="str">
        <x:v>Aucun tick de combat ni nouvelle commande de replay pendant l’intro.</x:v>
      </x:c>
      <x:c r="G5" s="20" t="str">
        <x:v>Dessins, voix et entrée canonique restent à produire.</x:v>
      </x:c>
    </x:row>
    <x:row r="6" ht="58" customHeight="1">
      <x:c r="A6" s="20" t="str">
        <x:v>R10-INP</x:v>
      </x:c>
      <x:c r="B6" s="20" t="str">
        <x:v>F-{UID}-INT</x:v>
      </x:c>
      <x:c r="C6" s="20" t="str">
        <x:v>Entrées après intro</x:v>
      </x:c>
      <x:c r="D6" s="20" t="str">
        <x:v>VALIDÉ LOCAL</x:v>
      </x:c>
      <x:c r="E6" s="20" t="str">
        <x:v>Clavier, boutons et manette neutralisés durant la présentation.</x:v>
      </x:c>
      <x:c r="F6" s="20" t="str">
        <x:v>Pas d’attaque ancienne ; stick maintenu doit être relâché.</x:v>
      </x:c>
      <x:c r="G6" s="20" t="str">
        <x:v>Périphériques physiques non certifiés.</x:v>
      </x:c>
    </x:row>
    <x:row r="7" ht="58" customHeight="1">
      <x:c r="A7" s="20" t="str">
        <x:v>R10-CMP</x:v>
      </x:c>
      <x:c r="B7" s="20" t="str">
        <x:v>F-{UID}-FIN</x:v>
      </x:c>
      <x:c r="C7" s="20" t="str">
        <x:v>Filtre de compatibilité</x:v>
      </x:c>
      <x:c r="D7" s="20" t="str">
        <x:v>VALIDÉ LOCAL</x:v>
      </x:c>
      <x:c r="E7" s="20" t="str">
        <x:v>Contrôle de gabarit et des phases avant fenêtre puis avant lancement.</x:v>
      </x:c>
      <x:c r="F7" s="20" t="str">
        <x:v>Une forme inconnue/non qualifiée n’hérite pas d’un corps humain.</x:v>
      </x:c>
      <x:c r="G7" s="20" t="str">
        <x:v>Gabarits du prototype ; pas des mesures ni des mises à mort Capcom.</x:v>
      </x:c>
    </x:row>
    <x:row r="8" ht="58" customHeight="1">
      <x:c r="A8" s="20" t="str">
        <x:v>R10-RES</x:v>
      </x:c>
      <x:c r="B8" s="20" t="str">
        <x:v>F-{UID}-FIN</x:v>
      </x:c>
      <x:c r="C8" s="20" t="str">
        <x:v>Victoire sans conclusion</x:v>
      </x:c>
      <x:c r="D8" s="20" t="str">
        <x:v>VALIDÉ LOCAL</x:v>
      </x:c>
      <x:c r="E8" s="20" t="str">
        <x:v>Paire non qualifiée : résultat normal, pas de fenêtre bloquée.</x:v>
      </x:c>
      <x:c r="F8" s="20" t="str">
        <x:v>Aucun crédit de conclusion ; résultat normal du duel conservé.</x:v>
      </x:c>
      <x:c r="G8" s="20" t="str">
        <x:v>Ce choix restreint temporairement les conclusions génériques.</x:v>
      </x:c>
    </x:row>
    <x:row r="9" ht="58" customHeight="1">
      <x:c r="A9" s="20" t="str">
        <x:v>R10-ARC</x:v>
      </x:c>
      <x:c r="B9" s="20" t="str">
        <x:v>F-{UID}-FIN</x:v>
      </x:c>
      <x:c r="C9" s="20" t="str">
        <x:v>Archive par victime</x:v>
      </x:c>
      <x:c r="D9" s="20" t="str">
        <x:v>VALIDÉ LOCAL</x:v>
      </x:c>
      <x:c r="E9" s="20" t="str">
        <x:v>Sélection d’une victime et explication de l’autorisation/refus.</x:v>
      </x:c>
      <x:c r="F9" s="20" t="str">
        <x:v>460 définitions conservées ; filtre en lecture seule.</x:v>
      </x:c>
      <x:c r="G9" s="20" t="str">
        <x:v>N’ajoute pas de nouvelle animation ni chorégraphie.</x:v>
      </x:c>
    </x:row>
    <x:row r="10" ht="58" customHeight="1">
      <x:c r="A10" s="20" t="str">
        <x:v>R10-DEP</x:v>
      </x:c>
      <x:c r="B10" s="20" t="str">
        <x:v>P1 / Livraison</x:v>
      </x:c>
      <x:c r="C10" s="20" t="str">
        <x:v>Intégration distante</x:v>
      </x:c>
      <x:c r="D10" s="20" t="str">
        <x:v>OUVERT</x:v>
      </x:c>
      <x:c r="E10" s="20" t="str">
        <x:v>Patch cumulatif sur PR11 R9 58b311b73a789…</x:v>
      </x:c>
      <x:c r="F10" s="20" t="str">
        <x:v>Relancer la CI GitHub sur le patch puis vérifier la branche avant intégration.</x:v>
      </x:c>
      <x:c r="G10" s="20" t="str">
        <x:v>GitHub lecture seule dans cette session ; aucun upload Drive.</x:v>
      </x:c>
    </x:row>
    <x:row r="11" ht="58" customHeight="1">
      <x:c r="A11" s="20" t="str">
        <x:v>R10-ART</x:v>
      </x:c>
      <x:c r="B11" s="20" t="str">
        <x:v>F-{UID}-INT/OUT/WIN/LOSE</x:v>
      </x:c>
      <x:c r="C11" s="20" t="str">
        <x:v>Production graphique 1:1</x:v>
      </x:c>
      <x:c r="D11" s="20" t="str">
        <x:v>OUVERT</x:v>
      </x:c>
      <x:c r="E11" s="20" t="str">
        <x:v>Dessiner et qualifier les orientations, articulations et gestes.</x:v>
      </x:c>
      <x:c r="F11" s="20" t="str">
        <x:v>Source d’origine et capture intégrée exigées pour clôturer.</x:v>
      </x:c>
      <x:c r="G11" s="20" t="str">
        <x:v>Les 2 768 emplacements R8 ne sont pas de nouvelles animations.</x:v>
      </x:c>
    </x:row>
    <x:row r="12" ht="58" customHeight="1">
      <x:c r="A12" s="20" t="str">
        <x:v>R10-LORE</x:v>
      </x:c>
      <x:c r="B12" s="20" t="str">
        <x:v>F-{UID}-MOV/SUP/FIN</x:v>
      </x:c>
      <x:c r="C12" s="20" t="str">
        <x:v>Répertoire et conclusions attestés</x:v>
      </x:c>
      <x:c r="D12" s="20" t="str">
        <x:v>OUVERT</x:v>
      </x:c>
      <x:c r="E12" s="20" t="str">
        <x:v>Relevés par épisode/forme/mode et timecodes exploitables.</x:v>
      </x:c>
      <x:c r="F12" s="20" t="str">
        <x:v>Pas de conversion d’un modèle partagé en attaque canonique.</x:v>
      </x:c>
      <x:c r="G12" s="20" t="str">
        <x:v>Aucun moveset, super ou finisher officiel ajouté ici.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e66ec2912ec4b1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2" hidden="0" customWidth="1"/>
    <x:col min="3" max="3" width="20" hidden="0" customWidth="1"/>
    <x:col min="4" max="4" width="43" hidden="0" customWidth="1"/>
    <x:col min="5" max="5" width="19" hidden="0" customWidth="1"/>
    <x:col min="6" max="6" width="19" hidden="0" customWidth="1"/>
    <x:col min="7" max="7" width="47" hidden="0" customWidth="1"/>
    <x:col min="8" max="8" width="34" hidden="0" customWidth="1"/>
  </x:cols>
  <x:sheetData>
    <x:row r="1" ht="38" customHeight="1">
      <x:c r="A1" s="3" t="str">
        <x:v>R10 • gabarits des 115 sujets principaux</x:v>
      </x:c>
      <x:c r="B1" s="3"/>
      <x:c r="C1" s="3"/>
      <x:c r="D1" s="3"/>
      <x:c r="E1" s="3"/>
      <x:c r="F1" s="3"/>
      <x:c r="G1" s="3"/>
      <x:c r="H1" s="3"/>
    </x:row>
    <x:row r="2" ht="44" customHeight="1">
      <x:c r="A2" s="8" t="str">
        <x:v>Ce tableau décrit les enveloppes du prototype et les blocages prudents, pas une qualification anatomique 1:1.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4" t="str">
        <x:v>UID</x:v>
      </x:c>
      <x:c r="B4" s="14" t="str">
        <x:v>Sujet</x:v>
      </x:c>
      <x:c r="C4" s="14" t="str">
        <x:v>Gabarit technique</x:v>
      </x:c>
      <x:c r="D4" s="14" t="str">
        <x:v>Lot P1</x:v>
      </x:c>
      <x:c r="E4" s="14" t="str">
        <x:v>Victimes compatibles</x:v>
      </x:c>
      <x:c r="F4" s="14" t="str">
        <x:v>Choix autorisés</x:v>
      </x:c>
      <x:c r="G4" s="14" t="str">
        <x:v>Raison / frontière</x:v>
      </x:c>
      <x:c r="H4" s="14" t="str">
        <x:v>Statut artistique</x:v>
      </x:c>
    </x:row>
    <x:row r="5" ht="58" customHeight="1">
      <x:c r="A5" s="20" t="str">
        <x:v>re1-cerberus</x:v>
      </x:c>
      <x:c r="B5" s="20" t="str">
        <x:v>CERBERUS</x:v>
      </x:c>
      <x:c r="C5" s="20" t="str">
        <x:v>low</x:v>
      </x:c>
      <x:c r="D5" s="20" t="str">
        <x:v>F-re1-cerberus-FIN</x:v>
      </x:c>
      <x:c r="E5" s="20" t="n">
        <x:v>40</x:v>
      </x:c>
      <x:c r="F5" s="20" t="n">
        <x:f>E5*4</x:f>
        <x:v>160</x:v>
      </x:c>
      <x:c r="G5" s="20" t="str">
        <x:v>Seulement les associations acceptées par la règle technique.</x:v>
      </x:c>
      <x:c r="H5" s="20" t="str">
        <x:v>SIMULATION / À VALIDER ARTISTIQUEMENT</x:v>
      </x:c>
    </x:row>
    <x:row r="6" ht="58" customHeight="1">
      <x:c r="A6" s="20" t="str">
        <x:v>re1r-tyrant</x:v>
      </x:c>
      <x:c r="B6" s="20" t="str">
        <x:v>TYRANT T-002</x:v>
      </x:c>
      <x:c r="C6" s="20" t="str">
        <x:v>biped</x:v>
      </x:c>
      <x:c r="D6" s="20" t="str">
        <x:v>F-re1r-tyrant-FIN</x:v>
      </x:c>
      <x:c r="E6" s="20" t="n">
        <x:v>45</x:v>
      </x:c>
      <x:c r="F6" s="20" t="n">
        <x:f>E6*4</x:f>
        <x:v>180</x:v>
      </x:c>
      <x:c r="G6" s="20" t="str">
        <x:v>Seulement les associations acceptées par la règle technique.</x:v>
      </x:c>
      <x:c r="H6" s="20" t="str">
        <x:v>SIMULATION / À VALIDER ARTISTIQUEMENT</x:v>
      </x:c>
    </x:row>
    <x:row r="7" ht="58" customHeight="1">
      <x:c r="A7" s="20" t="str">
        <x:v>re2-tyrant</x:v>
      </x:c>
      <x:c r="B7" s="20" t="str">
        <x:v>TYRANT T-103 / T-00</x:v>
      </x:c>
      <x:c r="C7" s="20" t="str">
        <x:v>biped</x:v>
      </x:c>
      <x:c r="D7" s="20" t="str">
        <x:v>F-re2-tyrant-FIN</x:v>
      </x:c>
      <x:c r="E7" s="20" t="n">
        <x:v>45</x:v>
      </x:c>
      <x:c r="F7" s="20" t="n">
        <x:f>E7*4</x:f>
        <x:v>180</x:v>
      </x:c>
      <x:c r="G7" s="20" t="str">
        <x:v>Seulement les associations acceptées par la règle technique.</x:v>
      </x:c>
      <x:c r="H7" s="20" t="str">
        <x:v>SIMULATION / À VALIDER ARTISTIQUEMENT</x:v>
      </x:c>
    </x:row>
    <x:row r="8" ht="58" customHeight="1">
      <x:c r="A8" s="20" t="str">
        <x:v>re2r-tyrant</x:v>
      </x:c>
      <x:c r="B8" s="20" t="str">
        <x:v>TYRANT T-103 / T-00</x:v>
      </x:c>
      <x:c r="C8" s="20" t="str">
        <x:v>biped</x:v>
      </x:c>
      <x:c r="D8" s="20" t="str">
        <x:v>F-re2r-tyrant-FIN</x:v>
      </x:c>
      <x:c r="E8" s="20" t="n">
        <x:v>45</x:v>
      </x:c>
      <x:c r="F8" s="20" t="n">
        <x:f>E8*4</x:f>
        <x:v>180</x:v>
      </x:c>
      <x:c r="G8" s="20" t="str">
        <x:v>Seulement les associations acceptées par la règle technique.</x:v>
      </x:c>
      <x:c r="H8" s="20" t="str">
        <x:v>SIMULATION / À VALIDER ARTISTIQUEMENT</x:v>
      </x:c>
    </x:row>
    <x:row r="9" ht="58" customHeight="1">
      <x:c r="A9" s="20" t="str">
        <x:v>re3r-nemesis</x:v>
      </x:c>
      <x:c r="B9" s="20" t="str">
        <x:v>NEMESIS — FORME 1, LANCE-ROQUETTES</x:v>
      </x:c>
      <x:c r="C9" s="20" t="str">
        <x:v>biped</x:v>
      </x:c>
      <x:c r="D9" s="20" t="str">
        <x:v>F-re3r-nemesis-FIN</x:v>
      </x:c>
      <x:c r="E9" s="20" t="n">
        <x:v>45</x:v>
      </x:c>
      <x:c r="F9" s="20" t="n">
        <x:f>E9*4</x:f>
        <x:v>180</x:v>
      </x:c>
      <x:c r="G9" s="20" t="str">
        <x:v>Seulement les associations acceptées par la règle technique.</x:v>
      </x:c>
      <x:c r="H9" s="20" t="str">
        <x:v>SIMULATION / À VALIDER ARTISTIQUEMENT</x:v>
      </x:c>
    </x:row>
    <x:row r="10" ht="58" customHeight="1">
      <x:c r="A10" s="20" t="str">
        <x:v>re4-bitores-mendez-enemy</x:v>
      </x:c>
      <x:c r="B10" s="20" t="str">
        <x:v>BITORES MÉNDEZ — FORME HUMAINE</x:v>
      </x:c>
      <x:c r="C10" s="20" t="str">
        <x:v>biped</x:v>
      </x:c>
      <x:c r="D10" s="20" t="str">
        <x:v>F-re4-bitores-mendez-enemy-FIN</x:v>
      </x:c>
      <x:c r="E10" s="20" t="n">
        <x:v>45</x:v>
      </x:c>
      <x:c r="F10" s="20" t="n">
        <x:f>E10*4</x:f>
        <x:v>180</x:v>
      </x:c>
      <x:c r="G10" s="20" t="str">
        <x:v>Seulement les associations acceptées par la règle technique.</x:v>
      </x:c>
      <x:c r="H10" s="20" t="str">
        <x:v>SIMULATION / À VALIDER ARTISTIQUEMENT</x:v>
      </x:c>
    </x:row>
    <x:row r="11" ht="58" customHeight="1">
      <x:c r="A11" s="20" t="str">
        <x:v>re4-verdugo</x:v>
      </x:c>
      <x:c r="B11" s="20" t="str">
        <x:v>VERDUGO</x:v>
      </x:c>
      <x:c r="C11" s="20" t="str">
        <x:v>unreviewed</x:v>
      </x:c>
      <x:c r="D11" s="20" t="str">
        <x:v>F-re4-verdugo-FIN</x:v>
      </x:c>
      <x:c r="E11" s="20" t="n">
        <x:v>0</x:v>
      </x:c>
      <x:c r="F11" s="20" t="n">
        <x:f>E11*4</x:f>
        <x:v>0</x:v>
      </x:c>
      <x:c r="G11" s="20" t="str">
        <x:v>Gabarit non qualifié pour cette chorégraphie.</x:v>
      </x:c>
      <x:c r="H11" s="20" t="str">
        <x:v>SIMULATION / À VALIDER ARTISTIQUEMENT</x:v>
      </x:c>
    </x:row>
    <x:row r="12" ht="58" customHeight="1">
      <x:c r="A12" s="20" t="str">
        <x:v>re4-u-3</x:v>
      </x:c>
      <x:c r="B12" s="20" t="str">
        <x:v>U-3</x:v>
      </x:c>
      <x:c r="C12" s="20" t="str">
        <x:v>unreviewed</x:v>
      </x:c>
      <x:c r="D12" s="20" t="str">
        <x:v>F-re4-u-3-FIN</x:v>
      </x:c>
      <x:c r="E12" s="20" t="n">
        <x:v>0</x:v>
      </x:c>
      <x:c r="F12" s="20" t="n">
        <x:f>E12*4</x:f>
        <x:v>0</x:v>
      </x:c>
      <x:c r="G12" s="20" t="str">
        <x:v>Gabarit non qualifié pour cette chorégraphie.</x:v>
      </x:c>
      <x:c r="H12" s="20" t="str">
        <x:v>SIMULATION / À VALIDER ARTISTIQUEMENT</x:v>
      </x:c>
    </x:row>
    <x:row r="13" ht="58" customHeight="1">
      <x:c r="A13" s="20" t="str">
        <x:v>re4-osmund-saddler-enemy</x:v>
      </x:c>
      <x:c r="B13" s="20" t="str">
        <x:v>OSMUND SADDLER — FORME HUMAINE</x:v>
      </x:c>
      <x:c r="C13" s="20" t="str">
        <x:v>biped</x:v>
      </x:c>
      <x:c r="D13" s="20" t="str">
        <x:v>F-re4-osmund-saddler-enemy-FIN</x:v>
      </x:c>
      <x:c r="E13" s="20" t="n">
        <x:v>45</x:v>
      </x:c>
      <x:c r="F13" s="20" t="n">
        <x:f>E13*4</x:f>
        <x:v>180</x:v>
      </x:c>
      <x:c r="G13" s="20" t="str">
        <x:v>Seulement les associations acceptées par la règle technique.</x:v>
      </x:c>
      <x:c r="H13" s="20" t="str">
        <x:v>SIMULATION / À VALIDER ARTISTIQUEMENT</x:v>
      </x:c>
    </x:row>
    <x:row r="14" ht="58" customHeight="1">
      <x:c r="A14" s="20" t="str">
        <x:v>re5-albert-wesker-enemy</x:v>
      </x:c>
      <x:c r="B14" s="20" t="str">
        <x:v>ALBERT WESKER — FORME HUMAINE</x:v>
      </x:c>
      <x:c r="C14" s="20" t="str">
        <x:v>biped</x:v>
      </x:c>
      <x:c r="D14" s="20" t="str">
        <x:v>F-re5-albert-wesker-enemy-FIN</x:v>
      </x:c>
      <x:c r="E14" s="20" t="n">
        <x:v>45</x:v>
      </x:c>
      <x:c r="F14" s="20" t="n">
        <x:f>E14*4</x:f>
        <x:v>180</x:v>
      </x:c>
      <x:c r="G14" s="20" t="str">
        <x:v>Seulement les associations acceptées par la règle technique.</x:v>
      </x:c>
      <x:c r="H14" s="20" t="str">
        <x:v>SIMULATION / À VALIDER ARTISTIQUEMENT</x:v>
      </x:c>
    </x:row>
    <x:row r="15" ht="58" customHeight="1">
      <x:c r="A15" s="20" t="str">
        <x:v>re7-molded</x:v>
      </x:c>
      <x:c r="B15" s="20" t="str">
        <x:v>MOLDED</x:v>
      </x:c>
      <x:c r="C15" s="20" t="str">
        <x:v>biped</x:v>
      </x:c>
      <x:c r="D15" s="20" t="str">
        <x:v>F-re7-molded-FIN</x:v>
      </x:c>
      <x:c r="E15" s="20" t="n">
        <x:v>45</x:v>
      </x:c>
      <x:c r="F15" s="20" t="n">
        <x:f>E15*4</x:f>
        <x:v>180</x:v>
      </x:c>
      <x:c r="G15" s="20" t="str">
        <x:v>Seulement les associations acceptées par la règle technique.</x:v>
      </x:c>
      <x:c r="H15" s="20" t="str">
        <x:v>SIMULATION / À VALIDER ARTISTIQUEMENT</x:v>
      </x:c>
    </x:row>
    <x:row r="16" ht="58" customHeight="1">
      <x:c r="A16" s="20" t="str">
        <x:v>re7-molded-fat</x:v>
      </x:c>
      <x:c r="B16" s="20" t="str">
        <x:v>FAT MOLDED</x:v>
      </x:c>
      <x:c r="C16" s="20" t="str">
        <x:v>biped</x:v>
      </x:c>
      <x:c r="D16" s="20" t="str">
        <x:v>F-re7-molded-fat-FIN</x:v>
      </x:c>
      <x:c r="E16" s="20" t="n">
        <x:v>45</x:v>
      </x:c>
      <x:c r="F16" s="20" t="n">
        <x:f>E16*4</x:f>
        <x:v>180</x:v>
      </x:c>
      <x:c r="G16" s="20" t="str">
        <x:v>Seulement les associations acceptées par la règle technique.</x:v>
      </x:c>
      <x:c r="H16" s="20" t="str">
        <x:v>SIMULATION / À VALIDER ARTISTIQUEMENT</x:v>
      </x:c>
    </x:row>
    <x:row r="17" ht="58" customHeight="1">
      <x:c r="A17" s="20" t="str">
        <x:v>re7-flying-bug</x:v>
      </x:c>
      <x:c r="B17" s="20" t="str">
        <x:v>FLYING BUG</x:v>
      </x:c>
      <x:c r="C17" s="20" t="str">
        <x:v>unreviewed</x:v>
      </x:c>
      <x:c r="D17" s="20" t="str">
        <x:v>F-re7-flying-bug-FIN</x:v>
      </x:c>
      <x:c r="E17" s="20" t="n">
        <x:v>0</x:v>
      </x:c>
      <x:c r="F17" s="20" t="n">
        <x:f>E17*4</x:f>
        <x:v>0</x:v>
      </x:c>
      <x:c r="G17" s="20" t="str">
        <x:v>Gabarit non qualifié pour cette chorégraphie.</x:v>
      </x:c>
      <x:c r="H17" s="20" t="str">
        <x:v>SIMULATION / À VALIDER ARTISTIQUEMENT</x:v>
      </x:c>
    </x:row>
    <x:row r="18" ht="58" customHeight="1">
      <x:c r="A18" s="20" t="str">
        <x:v>re7-mama-mold</x:v>
      </x:c>
      <x:c r="B18" s="20" t="str">
        <x:v>MAMA MOLD (WM-001)</x:v>
      </x:c>
      <x:c r="C18" s="20" t="str">
        <x:v>biped</x:v>
      </x:c>
      <x:c r="D18" s="20" t="str">
        <x:v>F-re7-mama-mold-FIN</x:v>
      </x:c>
      <x:c r="E18" s="20" t="n">
        <x:v>45</x:v>
      </x:c>
      <x:c r="F18" s="20" t="n">
        <x:f>E18*4</x:f>
        <x:v>180</x:v>
      </x:c>
      <x:c r="G18" s="20" t="str">
        <x:v>Seulement les associations acceptées par la règle technique.</x:v>
      </x:c>
      <x:c r="H18" s="20" t="str">
        <x:v>SIMULATION / À VALIDER ARTISTIQUEMENT</x:v>
      </x:c>
    </x:row>
    <x:row r="19" ht="58" customHeight="1">
      <x:c r="A19" s="20" t="str">
        <x:v>re7-little-crawler</x:v>
      </x:c>
      <x:c r="B19" s="20" t="str">
        <x:v>LITTLE CRAWLER</x:v>
      </x:c>
      <x:c r="C19" s="20" t="str">
        <x:v>low</x:v>
      </x:c>
      <x:c r="D19" s="20" t="str">
        <x:v>F-re7-little-crawler-FIN</x:v>
      </x:c>
      <x:c r="E19" s="20" t="n">
        <x:v>21</x:v>
      </x:c>
      <x:c r="F19" s="20" t="n">
        <x:f>E19*4</x:f>
        <x:v>84</x:v>
      </x:c>
      <x:c r="G19" s="20" t="str">
        <x:v>Seulement les associations acceptées par la règle technique.</x:v>
      </x:c>
      <x:c r="H19" s="20" t="str">
        <x:v>SIMULATION / À VALIDER ARTISTIQUEMENT</x:v>
      </x:c>
    </x:row>
    <x:row r="20" ht="58" customHeight="1">
      <x:c r="A20" s="20" t="str">
        <x:v>revillage-lycan</x:v>
      </x:c>
      <x:c r="B20" s="20" t="str">
        <x:v>LYCAN</x:v>
      </x:c>
      <x:c r="C20" s="20" t="str">
        <x:v>unreviewed</x:v>
      </x:c>
      <x:c r="D20" s="20" t="str">
        <x:v>F-revillage-lycan-FIN</x:v>
      </x:c>
      <x:c r="E20" s="20" t="n">
        <x:v>0</x:v>
      </x:c>
      <x:c r="F20" s="20" t="n">
        <x:f>E20*4</x:f>
        <x:v>0</x:v>
      </x:c>
      <x:c r="G20" s="20" t="str">
        <x:v>Gabarit non qualifié pour cette chorégraphie.</x:v>
      </x:c>
      <x:c r="H20" s="20" t="str">
        <x:v>SIMULATION / À VALIDER ARTISTIQUEMENT</x:v>
      </x:c>
    </x:row>
    <x:row r="21" ht="58" customHeight="1">
      <x:c r="A21" s="20" t="str">
        <x:v>revillage-lycan-large</x:v>
      </x:c>
      <x:c r="B21" s="20" t="str">
        <x:v>LYCAN — GRANDE VARIANTE</x:v>
      </x:c>
      <x:c r="C21" s="20" t="str">
        <x:v>unreviewed</x:v>
      </x:c>
      <x:c r="D21" s="20" t="str">
        <x:v>F-revillage-lycan-large-FIN</x:v>
      </x:c>
      <x:c r="E21" s="20" t="n">
        <x:v>0</x:v>
      </x:c>
      <x:c r="F21" s="20" t="n">
        <x:f>E21*4</x:f>
        <x:v>0</x:v>
      </x:c>
      <x:c r="G21" s="20" t="str">
        <x:v>Gabarit non qualifié pour cette chorégraphie.</x:v>
      </x:c>
      <x:c r="H21" s="20" t="str">
        <x:v>SIMULATION / À VALIDER ARTISTIQUEMENT</x:v>
      </x:c>
    </x:row>
    <x:row r="22" ht="58" customHeight="1">
      <x:c r="A22" s="20" t="str">
        <x:v>revillage-varcolac</x:v>
      </x:c>
      <x:c r="B22" s="20" t="str">
        <x:v>VÂRCOLAC</x:v>
      </x:c>
      <x:c r="C22" s="20" t="str">
        <x:v>low</x:v>
      </x:c>
      <x:c r="D22" s="20" t="str">
        <x:v>F-revillage-varcolac-FIN</x:v>
      </x:c>
      <x:c r="E22" s="20" t="n">
        <x:v>53</x:v>
      </x:c>
      <x:c r="F22" s="20" t="n">
        <x:f>E22*4</x:f>
        <x:v>212</x:v>
      </x:c>
      <x:c r="G22" s="20" t="str">
        <x:v>Seulement les associations acceptées par la règle technique.</x:v>
      </x:c>
      <x:c r="H22" s="20" t="str">
        <x:v>SIMULATION / À VALIDER ARTISTIQUEMENT</x:v>
      </x:c>
    </x:row>
    <x:row r="23" ht="58" customHeight="1">
      <x:c r="A23" s="20" t="str">
        <x:v>revillage-moroaica</x:v>
      </x:c>
      <x:c r="B23" s="20" t="str">
        <x:v>MOROAICĂ</x:v>
      </x:c>
      <x:c r="C23" s="20" t="str">
        <x:v>biped</x:v>
      </x:c>
      <x:c r="D23" s="20" t="str">
        <x:v>F-revillage-moroaica-FIN</x:v>
      </x:c>
      <x:c r="E23" s="20" t="n">
        <x:v>45</x:v>
      </x:c>
      <x:c r="F23" s="20" t="n">
        <x:f>E23*4</x:f>
        <x:v>180</x:v>
      </x:c>
      <x:c r="G23" s="20" t="str">
        <x:v>Seulement les associations acceptées par la règle technique.</x:v>
      </x:c>
      <x:c r="H23" s="20" t="str">
        <x:v>SIMULATION / À VALIDER ARTISTIQUEMENT</x:v>
      </x:c>
    </x:row>
    <x:row r="24" ht="58" customHeight="1">
      <x:c r="A24" s="20" t="str">
        <x:v>revillage-samca</x:v>
      </x:c>
      <x:c r="B24" s="20" t="str">
        <x:v>SAMCĂ</x:v>
      </x:c>
      <x:c r="C24" s="20" t="str">
        <x:v>winged</x:v>
      </x:c>
      <x:c r="D24" s="20" t="str">
        <x:v>F-revillage-samca-FIN</x:v>
      </x:c>
      <x:c r="E24" s="20" t="n">
        <x:v>0</x:v>
      </x:c>
      <x:c r="F24" s="20" t="n">
        <x:f>E24*4</x:f>
        <x:v>0</x:v>
      </x:c>
      <x:c r="G24" s="20" t="str">
        <x:v>Morphologie volante : scène dédiée requise.</x:v>
      </x:c>
      <x:c r="H24" s="20" t="str">
        <x:v>SIMULATION / À VALIDER ARTISTIQUEMENT</x:v>
      </x:c>
    </x:row>
    <x:row r="25" ht="58" customHeight="1">
      <x:c r="A25" s="20" t="str">
        <x:v>revillage-hauler</x:v>
      </x:c>
      <x:c r="B25" s="20" t="str">
        <x:v>HAULER</x:v>
      </x:c>
      <x:c r="C25" s="20" t="str">
        <x:v>mechanical</x:v>
      </x:c>
      <x:c r="D25" s="20" t="str">
        <x:v>F-revillage-hauler-FIN</x:v>
      </x:c>
      <x:c r="E25" s="20" t="n">
        <x:v>0</x:v>
      </x:c>
      <x:c r="F25" s="20" t="n">
        <x:f>E25*4</x:f>
        <x:v>0</x:v>
      </x:c>
      <x:c r="G25" s="20" t="str">
        <x:v>Corps mécanique : conclusion spécifique requise.</x:v>
      </x:c>
      <x:c r="H25" s="20" t="str">
        <x:v>SIMULATION / À VALIDER ARTISTIQUEMENT</x:v>
      </x:c>
    </x:row>
    <x:row r="26" ht="58" customHeight="1">
      <x:c r="A26" s="20" t="str">
        <x:v>revillage-soldat-eins</x:v>
      </x:c>
      <x:c r="B26" s="20" t="str">
        <x:v>SOLDAT EINS</x:v>
      </x:c>
      <x:c r="C26" s="20" t="str">
        <x:v>mechanical</x:v>
      </x:c>
      <x:c r="D26" s="20" t="str">
        <x:v>F-revillage-soldat-eins-FIN</x:v>
      </x:c>
      <x:c r="E26" s="20" t="n">
        <x:v>0</x:v>
      </x:c>
      <x:c r="F26" s="20" t="n">
        <x:f>E26*4</x:f>
        <x:v>0</x:v>
      </x:c>
      <x:c r="G26" s="20" t="str">
        <x:v>Corps mécanique : conclusion spécifique requise.</x:v>
      </x:c>
      <x:c r="H26" s="20" t="str">
        <x:v>SIMULATION / À VALIDER ARTISTIQUEMENT</x:v>
      </x:c>
    </x:row>
    <x:row r="27" ht="58" customHeight="1">
      <x:c r="A27" s="20" t="str">
        <x:v>revillage-soldat-zwei</x:v>
      </x:c>
      <x:c r="B27" s="20" t="str">
        <x:v>SOLDAT ZWEI</x:v>
      </x:c>
      <x:c r="C27" s="20" t="str">
        <x:v>mechanical</x:v>
      </x:c>
      <x:c r="D27" s="20" t="str">
        <x:v>F-revillage-soldat-zwei-FIN</x:v>
      </x:c>
      <x:c r="E27" s="20" t="n">
        <x:v>0</x:v>
      </x:c>
      <x:c r="F27" s="20" t="n">
        <x:f>E27*4</x:f>
        <x:v>0</x:v>
      </x:c>
      <x:c r="G27" s="20" t="str">
        <x:v>Corps mécanique : conclusion spécifique requise.</x:v>
      </x:c>
      <x:c r="H27" s="20" t="str">
        <x:v>SIMULATION / À VALIDER ARTISTIQUEMENT</x:v>
      </x:c>
    </x:row>
    <x:row r="28" ht="58" customHeight="1">
      <x:c r="A28" s="20" t="str">
        <x:v>revillage-soldat-jet</x:v>
      </x:c>
      <x:c r="B28" s="20" t="str">
        <x:v>SOLDAT JET</x:v>
      </x:c>
      <x:c r="C28" s="20" t="str">
        <x:v>mechanical</x:v>
      </x:c>
      <x:c r="D28" s="20" t="str">
        <x:v>F-revillage-soldat-jet-FIN</x:v>
      </x:c>
      <x:c r="E28" s="20" t="n">
        <x:v>0</x:v>
      </x:c>
      <x:c r="F28" s="20" t="n">
        <x:f>E28*4</x:f>
        <x:v>0</x:v>
      </x:c>
      <x:c r="G28" s="20" t="str">
        <x:v>Corps mécanique : conclusion spécifique requise.</x:v>
      </x:c>
      <x:c r="H28" s="20" t="str">
        <x:v>SIMULATION / À VALIDER ARTISTIQUEMENT</x:v>
      </x:c>
    </x:row>
    <x:row r="29" ht="58" customHeight="1">
      <x:c r="A29" s="20" t="str">
        <x:v>revillage-soldat-panzer</x:v>
      </x:c>
      <x:c r="B29" s="20" t="str">
        <x:v>SOLDAT PANZER</x:v>
      </x:c>
      <x:c r="C29" s="20" t="str">
        <x:v>mechanical</x:v>
      </x:c>
      <x:c r="D29" s="20" t="str">
        <x:v>F-revillage-soldat-panzer-FIN</x:v>
      </x:c>
      <x:c r="E29" s="20" t="n">
        <x:v>0</x:v>
      </x:c>
      <x:c r="F29" s="20" t="n">
        <x:f>E29*4</x:f>
        <x:v>0</x:v>
      </x:c>
      <x:c r="G29" s="20" t="str">
        <x:v>Corps mécanique : conclusion spécifique requise.</x:v>
      </x:c>
      <x:c r="H29" s="20" t="str">
        <x:v>SIMULATION / À VALIDER ARTISTIQUEMENT</x:v>
      </x:c>
    </x:row>
    <x:row r="30" ht="58" customHeight="1">
      <x:c r="A30" s="20" t="str">
        <x:v>revillage-alcina-dimitrescu</x:v>
      </x:c>
      <x:c r="B30" s="20" t="str">
        <x:v>ALCINA DIMITRESCU — FORME HUMAINE</x:v>
      </x:c>
      <x:c r="C30" s="20" t="str">
        <x:v>biped</x:v>
      </x:c>
      <x:c r="D30" s="20" t="str">
        <x:v>F-revillage-alcina-dimitrescu-FIN</x:v>
      </x:c>
      <x:c r="E30" s="20" t="n">
        <x:v>44</x:v>
      </x:c>
      <x:c r="F30" s="20" t="n">
        <x:f>E30*4</x:f>
        <x:v>176</x:v>
      </x:c>
      <x:c r="G30" s="20" t="str">
        <x:v>Seulement les associations acceptées par la règle technique.</x:v>
      </x:c>
      <x:c r="H30" s="20" t="str">
        <x:v>SIMULATION / À VALIDER ARTISTIQUEMENT</x:v>
      </x:c>
    </x:row>
    <x:row r="31" ht="58" customHeight="1">
      <x:c r="A31" s="20" t="str">
        <x:v>revillage-donna-angie</x:v>
      </x:c>
      <x:c r="B31" s="20" t="str">
        <x:v>DONNA BENEVIENTO ET ANGIE</x:v>
      </x:c>
      <x:c r="C31" s="20" t="str">
        <x:v>collective</x:v>
      </x:c>
      <x:c r="D31" s="20" t="str">
        <x:v>F-revillage-donna-angie-FIN</x:v>
      </x:c>
      <x:c r="E31" s="20" t="n">
        <x:v>0</x:v>
      </x:c>
      <x:c r="F31" s="20" t="n">
        <x:f>E31*4</x:f>
        <x:v>0</x:v>
      </x:c>
      <x:c r="G31" s="20" t="str">
        <x:v>Sujet collectif : scène dédiée requise.</x:v>
      </x:c>
      <x:c r="H31" s="20" t="str">
        <x:v>SIMULATION / À VALIDER ARTISTIQUEMENT</x:v>
      </x:c>
    </x:row>
    <x:row r="32" ht="58" customHeight="1">
      <x:c r="A32" s="20" t="str">
        <x:v>revillage-salvatore-moreau</x:v>
      </x:c>
      <x:c r="B32" s="20" t="str">
        <x:v>SALVATORE MOREAU — SOUS SON MANTEAU</x:v>
      </x:c>
      <x:c r="C32" s="20" t="str">
        <x:v>biped</x:v>
      </x:c>
      <x:c r="D32" s="20" t="str">
        <x:v>F-revillage-salvatore-moreau-FIN</x:v>
      </x:c>
      <x:c r="E32" s="20" t="n">
        <x:v>44</x:v>
      </x:c>
      <x:c r="F32" s="20" t="n">
        <x:f>E32*4</x:f>
        <x:v>176</x:v>
      </x:c>
      <x:c r="G32" s="20" t="str">
        <x:v>Seulement les associations acceptées par la règle technique.</x:v>
      </x:c>
      <x:c r="H32" s="20" t="str">
        <x:v>SIMULATION / À VALIDER ARTISTIQUEMENT</x:v>
      </x:c>
    </x:row>
    <x:row r="33" ht="58" customHeight="1">
      <x:c r="A33" s="20" t="str">
        <x:v>revillage-salvatore-moreau-exposed</x:v>
      </x:c>
      <x:c r="B33" s="20" t="str">
        <x:v>SALVATORE MOREAU — MANTEAU RETIRÉ</x:v>
      </x:c>
      <x:c r="C33" s="20" t="str">
        <x:v>biped</x:v>
      </x:c>
      <x:c r="D33" s="20" t="str">
        <x:v>F-revillage-salvatore-moreau-exposed-FIN</x:v>
      </x:c>
      <x:c r="E33" s="20" t="n">
        <x:v>45</x:v>
      </x:c>
      <x:c r="F33" s="20" t="n">
        <x:f>E33*4</x:f>
        <x:v>180</x:v>
      </x:c>
      <x:c r="G33" s="20" t="str">
        <x:v>Seulement les associations acceptées par la règle technique.</x:v>
      </x:c>
      <x:c r="H33" s="20" t="str">
        <x:v>SIMULATION / À VALIDER ARTISTIQUEMENT</x:v>
      </x:c>
    </x:row>
    <x:row r="34" ht="58" customHeight="1">
      <x:c r="A34" s="20" t="str">
        <x:v>revillage-urias</x:v>
      </x:c>
      <x:c r="B34" s="20" t="str">
        <x:v>URIAȘ</x:v>
      </x:c>
      <x:c r="C34" s="20" t="str">
        <x:v>giant</x:v>
      </x:c>
      <x:c r="D34" s="20" t="str">
        <x:v>F-revillage-urias-FIN</x:v>
      </x:c>
      <x:c r="E34" s="20" t="n">
        <x:v>0</x:v>
      </x:c>
      <x:c r="F34" s="20" t="n">
        <x:f>E34*4</x:f>
        <x:v>0</x:v>
      </x:c>
      <x:c r="G34" s="20" t="str">
        <x:v>Géant : échelle et points de contact spécifiques requis.</x:v>
      </x:c>
      <x:c r="H34" s="20" t="str">
        <x:v>SIMULATION / À VALIDER ARTISTIQUEMENT</x:v>
      </x:c>
    </x:row>
    <x:row r="35" ht="58" customHeight="1">
      <x:c r="A35" s="20" t="str">
        <x:v>revillage-urias-strajer</x:v>
      </x:c>
      <x:c r="B35" s="20" t="str">
        <x:v>URIAȘ STRĂJER</x:v>
      </x:c>
      <x:c r="C35" s="20" t="str">
        <x:v>giant</x:v>
      </x:c>
      <x:c r="D35" s="20" t="str">
        <x:v>F-revillage-urias-strajer-FIN</x:v>
      </x:c>
      <x:c r="E35" s="20" t="n">
        <x:v>0</x:v>
      </x:c>
      <x:c r="F35" s="20" t="n">
        <x:f>E35*4</x:f>
        <x:v>0</x:v>
      </x:c>
      <x:c r="G35" s="20" t="str">
        <x:v>Géant : échelle et points de contact spécifiques requis.</x:v>
      </x:c>
      <x:c r="H35" s="20" t="str">
        <x:v>SIMULATION / À VALIDER ARTISTIQUEMENT</x:v>
      </x:c>
    </x:row>
    <x:row r="36" ht="58" customHeight="1">
      <x:c r="A36" s="20" t="str">
        <x:v>revillage-sturm</x:v>
      </x:c>
      <x:c r="B36" s="20" t="str">
        <x:v>STURM</x:v>
      </x:c>
      <x:c r="C36" s="20" t="str">
        <x:v>mechanical</x:v>
      </x:c>
      <x:c r="D36" s="20" t="str">
        <x:v>F-revillage-sturm-FIN</x:v>
      </x:c>
      <x:c r="E36" s="20" t="n">
        <x:v>0</x:v>
      </x:c>
      <x:c r="F36" s="20" t="n">
        <x:f>E36*4</x:f>
        <x:v>0</x:v>
      </x:c>
      <x:c r="G36" s="20" t="str">
        <x:v>Corps mécanique : conclusion spécifique requise.</x:v>
      </x:c>
      <x:c r="H36" s="20" t="str">
        <x:v>SIMULATION / À VALIDER ARTISTIQUEMENT</x:v>
      </x:c>
    </x:row>
    <x:row r="37" ht="58" customHeight="1">
      <x:c r="A37" s="20" t="str">
        <x:v>revillage-karl-heisenberg</x:v>
      </x:c>
      <x:c r="B37" s="20" t="str">
        <x:v>KARL HEISENBERG — FORME HUMAINE</x:v>
      </x:c>
      <x:c r="C37" s="20" t="str">
        <x:v>biped</x:v>
      </x:c>
      <x:c r="D37" s="20" t="str">
        <x:v>F-revillage-karl-heisenberg-FIN</x:v>
      </x:c>
      <x:c r="E37" s="20" t="n">
        <x:v>45</x:v>
      </x:c>
      <x:c r="F37" s="20" t="n">
        <x:f>E37*4</x:f>
        <x:v>180</x:v>
      </x:c>
      <x:c r="G37" s="20" t="str">
        <x:v>Seulement les associations acceptées par la règle technique.</x:v>
      </x:c>
      <x:c r="H37" s="20" t="str">
        <x:v>SIMULATION / À VALIDER ARTISTIQUEMENT</x:v>
      </x:c>
    </x:row>
    <x:row r="38" ht="58" customHeight="1">
      <x:c r="A38" s="20" t="str">
        <x:v>revillage-mother-miranda</x:v>
      </x:c>
      <x:c r="B38" s="20" t="str">
        <x:v>MIRANDA — APPARENCE CÉRÉMONIELLE</x:v>
      </x:c>
      <x:c r="C38" s="20" t="str">
        <x:v>winged</x:v>
      </x:c>
      <x:c r="D38" s="20" t="str">
        <x:v>F-revillage-mother-miranda-FIN</x:v>
      </x:c>
      <x:c r="E38" s="20" t="n">
        <x:v>0</x:v>
      </x:c>
      <x:c r="F38" s="20" t="n">
        <x:f>E38*4</x:f>
        <x:v>0</x:v>
      </x:c>
      <x:c r="G38" s="20" t="str">
        <x:v>Morphologie volante : scène dédiée requise.</x:v>
      </x:c>
      <x:c r="H38" s="20" t="str">
        <x:v>SIMULATION / À VALIDER ARTISTIQUEMENT</x:v>
      </x:c>
    </x:row>
    <x:row r="39" ht="58" customHeight="1">
      <x:c r="A39" s="20" t="str">
        <x:v>revillage-mutated-miranda</x:v>
      </x:c>
      <x:c r="B39" s="20" t="str">
        <x:v>MIRANDA — FORME DE COMBAT AILÉE</x:v>
      </x:c>
      <x:c r="C39" s="20" t="str">
        <x:v>winged</x:v>
      </x:c>
      <x:c r="D39" s="20" t="str">
        <x:v>F-revillage-mutated-miranda-FIN</x:v>
      </x:c>
      <x:c r="E39" s="20" t="n">
        <x:v>0</x:v>
      </x:c>
      <x:c r="F39" s="20" t="n">
        <x:f>E39*4</x:f>
        <x:v>0</x:v>
      </x:c>
      <x:c r="G39" s="20" t="str">
        <x:v>Morphologie volante : scène dédiée requise.</x:v>
      </x:c>
      <x:c r="H39" s="20" t="str">
        <x:v>SIMULATION / À VALIDER ARTISTIQUEMENT</x:v>
      </x:c>
    </x:row>
    <x:row r="40" ht="58" customHeight="1">
      <x:c r="A40" s="20" t="str">
        <x:v>re4r-bitores-mendez</x:v>
      </x:c>
      <x:c r="B40" s="20" t="str">
        <x:v>BITORES MÉNDEZ — FORME HUMAINE</x:v>
      </x:c>
      <x:c r="C40" s="20" t="str">
        <x:v>biped</x:v>
      </x:c>
      <x:c r="D40" s="20" t="str">
        <x:v>F-re4r-bitores-mendez-FIN</x:v>
      </x:c>
      <x:c r="E40" s="20" t="n">
        <x:v>45</x:v>
      </x:c>
      <x:c r="F40" s="20" t="n">
        <x:f>E40*4</x:f>
        <x:v>180</x:v>
      </x:c>
      <x:c r="G40" s="20" t="str">
        <x:v>Seulement les associations acceptées par la règle technique.</x:v>
      </x:c>
      <x:c r="H40" s="20" t="str">
        <x:v>SIMULATION / À VALIDER ARTISTIQUEMENT</x:v>
      </x:c>
    </x:row>
    <x:row r="41" ht="58" customHeight="1">
      <x:c r="A41" s="20" t="str">
        <x:v>re4r-verdugo</x:v>
      </x:c>
      <x:c r="B41" s="20" t="str">
        <x:v>VERDUGO</x:v>
      </x:c>
      <x:c r="C41" s="20" t="str">
        <x:v>unreviewed</x:v>
      </x:c>
      <x:c r="D41" s="20" t="str">
        <x:v>F-re4r-verdugo-FIN</x:v>
      </x:c>
      <x:c r="E41" s="20" t="n">
        <x:v>0</x:v>
      </x:c>
      <x:c r="F41" s="20" t="n">
        <x:f>E41*4</x:f>
        <x:v>0</x:v>
      </x:c>
      <x:c r="G41" s="20" t="str">
        <x:v>Gabarit non qualifié pour cette chorégraphie.</x:v>
      </x:c>
      <x:c r="H41" s="20" t="str">
        <x:v>SIMULATION / À VALIDER ARTISTIQUEMENT</x:v>
      </x:c>
    </x:row>
    <x:row r="42" ht="58" customHeight="1">
      <x:c r="A42" s="20" t="str">
        <x:v>re4r-ramon-salazar</x:v>
      </x:c>
      <x:c r="B42" s="20" t="str">
        <x:v>RAMÓN SALAZAR — FORME HUMAINE</x:v>
      </x:c>
      <x:c r="C42" s="20" t="str">
        <x:v>biped</x:v>
      </x:c>
      <x:c r="D42" s="20" t="str">
        <x:v>F-re4r-ramon-salazar-FIN</x:v>
      </x:c>
      <x:c r="E42" s="20" t="n">
        <x:v>11</x:v>
      </x:c>
      <x:c r="F42" s="20" t="n">
        <x:f>E42*4</x:f>
        <x:v>44</x:v>
      </x:c>
      <x:c r="G42" s="20" t="str">
        <x:v>Seulement les associations acceptées par la règle technique.</x:v>
      </x:c>
      <x:c r="H42" s="20" t="str">
        <x:v>SIMULATION / À VALIDER ARTISTIQUEMENT</x:v>
      </x:c>
    </x:row>
    <x:row r="43" ht="58" customHeight="1">
      <x:c r="A43" s="20" t="str">
        <x:v>re2-ivy</x:v>
      </x:c>
      <x:c r="B43" s="20" t="str">
        <x:v>IVY / PLANT 43</x:v>
      </x:c>
      <x:c r="C43" s="20" t="str">
        <x:v>plant</x:v>
      </x:c>
      <x:c r="D43" s="20" t="str">
        <x:v>F-re2-ivy-FIN</x:v>
      </x:c>
      <x:c r="E43" s="20" t="n">
        <x:v>0</x:v>
      </x:c>
      <x:c r="F43" s="20" t="n">
        <x:f>E43*4</x:f>
        <x:v>0</x:v>
      </x:c>
      <x:c r="G43" s="20" t="str">
        <x:v>Organisme végétal : scène dédiée requise.</x:v>
      </x:c>
      <x:c r="H43" s="20" t="str">
        <x:v>SIMULATION / À VALIDER ARTISTIQUEMENT</x:v>
      </x:c>
    </x:row>
    <x:row r="44" ht="58" customHeight="1">
      <x:c r="A44" s="20" t="str">
        <x:v>re2-g-fourth-form</x:v>
      </x:c>
      <x:c r="B44" s="20" t="str">
        <x:v>G — QUATRIÈME FORME</x:v>
      </x:c>
      <x:c r="C44" s="20" t="str">
        <x:v>low</x:v>
      </x:c>
      <x:c r="D44" s="20" t="str">
        <x:v>F-re2-g-fourth-form-FIN</x:v>
      </x:c>
      <x:c r="E44" s="20" t="n">
        <x:v>0</x:v>
      </x:c>
      <x:c r="F44" s="20" t="n">
        <x:f>E44*4</x:f>
        <x:v>0</x:v>
      </x:c>
      <x:c r="G44" s="20" t="str">
        <x:v>Seulement les associations acceptées par la règle technique.</x:v>
      </x:c>
      <x:c r="H44" s="20" t="str">
        <x:v>SIMULATION / À VALIDER ARTISTIQUEMENT</x:v>
      </x:c>
    </x:row>
    <x:row r="45" ht="58" customHeight="1">
      <x:c r="A45" s="20" t="str">
        <x:v>re2-g</x:v>
      </x:c>
      <x:c r="B45" s="20" t="str">
        <x:v>G — PREMIÈRE FORME</x:v>
      </x:c>
      <x:c r="C45" s="20" t="str">
        <x:v>biped</x:v>
      </x:c>
      <x:c r="D45" s="20" t="str">
        <x:v>F-re2-g-FIN</x:v>
      </x:c>
      <x:c r="E45" s="20" t="n">
        <x:v>45</x:v>
      </x:c>
      <x:c r="F45" s="20" t="n">
        <x:f>E45*4</x:f>
        <x:v>180</x:v>
      </x:c>
      <x:c r="G45" s="20" t="str">
        <x:v>Seulement les associations acceptées par la règle technique.</x:v>
      </x:c>
      <x:c r="H45" s="20" t="str">
        <x:v>SIMULATION / À VALIDER ARTISTIQUEMENT</x:v>
      </x:c>
    </x:row>
    <x:row r="46" ht="58" customHeight="1">
      <x:c r="A46" s="20" t="str">
        <x:v>re2-g-second-form</x:v>
      </x:c>
      <x:c r="B46" s="20" t="str">
        <x:v>G — DEUXIÈME FORME</x:v>
      </x:c>
      <x:c r="C46" s="20" t="str">
        <x:v>biped</x:v>
      </x:c>
      <x:c r="D46" s="20" t="str">
        <x:v>F-re2-g-second-form-FIN</x:v>
      </x:c>
      <x:c r="E46" s="20" t="n">
        <x:v>45</x:v>
      </x:c>
      <x:c r="F46" s="20" t="n">
        <x:f>E46*4</x:f>
        <x:v>180</x:v>
      </x:c>
      <x:c r="G46" s="20" t="str">
        <x:v>Seulement les associations acceptées par la règle technique.</x:v>
      </x:c>
      <x:c r="H46" s="20" t="str">
        <x:v>SIMULATION / À VALIDER ARTISTIQUEMENT</x:v>
      </x:c>
    </x:row>
    <x:row r="47" ht="58" customHeight="1">
      <x:c r="A47" s="20" t="str">
        <x:v>re2-g-third-form</x:v>
      </x:c>
      <x:c r="B47" s="20" t="str">
        <x:v>G — TROISIÈME FORME</x:v>
      </x:c>
      <x:c r="C47" s="20" t="str">
        <x:v>biped</x:v>
      </x:c>
      <x:c r="D47" s="20" t="str">
        <x:v>F-re2-g-third-form-FIN</x:v>
      </x:c>
      <x:c r="E47" s="20" t="n">
        <x:v>45</x:v>
      </x:c>
      <x:c r="F47" s="20" t="n">
        <x:f>E47*4</x:f>
        <x:v>180</x:v>
      </x:c>
      <x:c r="G47" s="20" t="str">
        <x:v>Seulement les associations acceptées par la règle technique.</x:v>
      </x:c>
      <x:c r="H47" s="20" t="str">
        <x:v>SIMULATION / À VALIDER ARTISTIQUEMENT</x:v>
      </x:c>
    </x:row>
    <x:row r="48" ht="58" customHeight="1">
      <x:c r="A48" s="20" t="str">
        <x:v>re2-g-type-adult</x:v>
      </x:c>
      <x:c r="B48" s="20" t="str">
        <x:v>G-TYPE ADULT</x:v>
      </x:c>
      <x:c r="C48" s="20" t="str">
        <x:v>biped</x:v>
      </x:c>
      <x:c r="D48" s="20" t="str">
        <x:v>F-re2-g-type-adult-FIN</x:v>
      </x:c>
      <x:c r="E48" s="20" t="n">
        <x:v>44</x:v>
      </x:c>
      <x:c r="F48" s="20" t="n">
        <x:f>E48*4</x:f>
        <x:v>176</x:v>
      </x:c>
      <x:c r="G48" s="20" t="str">
        <x:v>Seulement les associations acceptées par la règle technique.</x:v>
      </x:c>
      <x:c r="H48" s="20" t="str">
        <x:v>SIMULATION / À VALIDER ARTISTIQUEMENT</x:v>
      </x:c>
    </x:row>
    <x:row r="49" ht="58" customHeight="1">
      <x:c r="A49" s="20" t="str">
        <x:v>re2-g-type-young</x:v>
      </x:c>
      <x:c r="B49" s="20" t="str">
        <x:v>G-TYPE YOUNG</x:v>
      </x:c>
      <x:c r="C49" s="20" t="str">
        <x:v>low</x:v>
      </x:c>
      <x:c r="D49" s="20" t="str">
        <x:v>F-re2-g-type-young-FIN</x:v>
      </x:c>
      <x:c r="E49" s="20" t="n">
        <x:v>8</x:v>
      </x:c>
      <x:c r="F49" s="20" t="n">
        <x:f>E49*4</x:f>
        <x:v>32</x:v>
      </x:c>
      <x:c r="G49" s="20" t="str">
        <x:v>Seulement les associations acceptées par la règle technique.</x:v>
      </x:c>
      <x:c r="H49" s="20" t="str">
        <x:v>SIMULATION / À VALIDER ARTISTIQUEMENT</x:v>
      </x:c>
    </x:row>
    <x:row r="50" ht="58" customHeight="1">
      <x:c r="A50" s="20" t="str">
        <x:v>re2-licker</x:v>
      </x:c>
      <x:c r="B50" s="20" t="str">
        <x:v>LICKER</x:v>
      </x:c>
      <x:c r="C50" s="20" t="str">
        <x:v>low</x:v>
      </x:c>
      <x:c r="D50" s="20" t="str">
        <x:v>F-re2-licker-FIN</x:v>
      </x:c>
      <x:c r="E50" s="20" t="n">
        <x:v>54</x:v>
      </x:c>
      <x:c r="F50" s="20" t="n">
        <x:f>E50*4</x:f>
        <x:v>216</x:v>
      </x:c>
      <x:c r="G50" s="20" t="str">
        <x:v>Seulement les associations acceptées par la règle technique.</x:v>
      </x:c>
      <x:c r="H50" s="20" t="str">
        <x:v>SIMULATION / À VALIDER ARTISTIQUEMENT</x:v>
      </x:c>
    </x:row>
    <x:row r="51" ht="58" customHeight="1">
      <x:c r="A51" s="20" t="str">
        <x:v>re2-poison-ivy</x:v>
      </x:c>
      <x:c r="B51" s="20" t="str">
        <x:v>POISON IVY</x:v>
      </x:c>
      <x:c r="C51" s="20" t="str">
        <x:v>plant</x:v>
      </x:c>
      <x:c r="D51" s="20" t="str">
        <x:v>F-re2-poison-ivy-FIN</x:v>
      </x:c>
      <x:c r="E51" s="20" t="n">
        <x:v>0</x:v>
      </x:c>
      <x:c r="F51" s="20" t="n">
        <x:f>E51*4</x:f>
        <x:v>0</x:v>
      </x:c>
      <x:c r="G51" s="20" t="str">
        <x:v>Organisme végétal : scène dédiée requise.</x:v>
      </x:c>
      <x:c r="H51" s="20" t="str">
        <x:v>SIMULATION / À VALIDER ARTISTIQUEMENT</x:v>
      </x:c>
    </x:row>
    <x:row r="52" ht="58" customHeight="1">
      <x:c r="A52" s="20" t="str">
        <x:v>re2-tyrant-mutation</x:v>
      </x:c>
      <x:c r="B52" s="20" t="str">
        <x:v>SUPER TYRANT</x:v>
      </x:c>
      <x:c r="C52" s="20" t="str">
        <x:v>biped</x:v>
      </x:c>
      <x:c r="D52" s="20" t="str">
        <x:v>F-re2-tyrant-mutation-FIN</x:v>
      </x:c>
      <x:c r="E52" s="20" t="n">
        <x:v>45</x:v>
      </x:c>
      <x:c r="F52" s="20" t="n">
        <x:f>E52*4</x:f>
        <x:v>180</x:v>
      </x:c>
      <x:c r="G52" s="20" t="str">
        <x:v>Seulement les associations acceptées par la règle technique.</x:v>
      </x:c>
      <x:c r="H52" s="20" t="str">
        <x:v>SIMULATION / À VALIDER ARTISTIQUEMENT</x:v>
      </x:c>
    </x:row>
    <x:row r="53" ht="58" customHeight="1">
      <x:c r="A53" s="20" t="str">
        <x:v>re0-proto-tyrant</x:v>
      </x:c>
      <x:c r="B53" s="20" t="str">
        <x:v>PROTO-TYRANT</x:v>
      </x:c>
      <x:c r="C53" s="20" t="str">
        <x:v>biped</x:v>
      </x:c>
      <x:c r="D53" s="20" t="str">
        <x:v>F-re0-proto-tyrant-FIN</x:v>
      </x:c>
      <x:c r="E53" s="20" t="n">
        <x:v>45</x:v>
      </x:c>
      <x:c r="F53" s="20" t="n">
        <x:f>E53*4</x:f>
        <x:v>180</x:v>
      </x:c>
      <x:c r="G53" s="20" t="str">
        <x:v>Seulement les associations acceptées par la règle technique.</x:v>
      </x:c>
      <x:c r="H53" s="20" t="str">
        <x:v>SIMULATION / À VALIDER ARTISTIQUEMENT</x:v>
      </x:c>
    </x:row>
    <x:row r="54" ht="58" customHeight="1">
      <x:c r="A54" s="20" t="str">
        <x:v>re0-mimicry-marcus</x:v>
      </x:c>
      <x:c r="B54" s="20" t="str">
        <x:v>MIMICRY MARCUS — CAMOUFLAGE ROMPU</x:v>
      </x:c>
      <x:c r="C54" s="20" t="str">
        <x:v>colony</x:v>
      </x:c>
      <x:c r="D54" s="20" t="str">
        <x:v>F-re0-mimicry-marcus-FIN</x:v>
      </x:c>
      <x:c r="E54" s="20" t="n">
        <x:v>0</x:v>
      </x:c>
      <x:c r="F54" s="20" t="n">
        <x:f>E54*4</x:f>
        <x:v>0</x:v>
      </x:c>
      <x:c r="G54" s="20" t="str">
        <x:v>Masse ou colonie : la chute générique est inadaptée.</x:v>
      </x:c>
      <x:c r="H54" s="20" t="str">
        <x:v>SIMULATION / À VALIDER ARTISTIQUEMENT</x:v>
      </x:c>
    </x:row>
    <x:row r="55" ht="58" customHeight="1">
      <x:c r="A55" s="20" t="str">
        <x:v>re6-zombie</x:v>
      </x:c>
      <x:c r="B55" s="20" t="str">
        <x:v>ZOMBIE AU VIRUS-C</x:v>
      </x:c>
      <x:c r="C55" s="20" t="str">
        <x:v>biped</x:v>
      </x:c>
      <x:c r="D55" s="20" t="str">
        <x:v>F-re6-zombie-FIN</x:v>
      </x:c>
      <x:c r="E55" s="20" t="n">
        <x:v>45</x:v>
      </x:c>
      <x:c r="F55" s="20" t="n">
        <x:f>E55*4</x:f>
        <x:v>180</x:v>
      </x:c>
      <x:c r="G55" s="20" t="str">
        <x:v>Seulement les associations acceptées par la règle technique.</x:v>
      </x:c>
      <x:c r="H55" s="20" t="str">
        <x:v>SIMULATION / À VALIDER ARTISTIQUEMENT</x:v>
      </x:c>
    </x:row>
    <x:row r="56" ht="58" customHeight="1">
      <x:c r="A56" s="20" t="str">
        <x:v>re6-strelat</x:v>
      </x:c>
      <x:c r="B56" s="20" t="str">
        <x:v>STRELAT</x:v>
      </x:c>
      <x:c r="C56" s="20" t="str">
        <x:v>unreviewed</x:v>
      </x:c>
      <x:c r="D56" s="20" t="str">
        <x:v>F-re6-strelat-FIN</x:v>
      </x:c>
      <x:c r="E56" s="20" t="n">
        <x:v>0</x:v>
      </x:c>
      <x:c r="F56" s="20" t="n">
        <x:f>E56*4</x:f>
        <x:v>0</x:v>
      </x:c>
      <x:c r="G56" s="20" t="str">
        <x:v>Gabarit non qualifié pour cette chorégraphie.</x:v>
      </x:c>
      <x:c r="H56" s="20" t="str">
        <x:v>SIMULATION / À VALIDER ARTISTIQUEMENT</x:v>
      </x:c>
    </x:row>
    <x:row r="57" ht="58" customHeight="1">
      <x:c r="A57" s="20" t="str">
        <x:v>rerev2-splasher</x:v>
      </x:c>
      <x:c r="B57" s="20" t="str">
        <x:v>SPLASHER</x:v>
      </x:c>
      <x:c r="C57" s="20" t="str">
        <x:v>biped</x:v>
      </x:c>
      <x:c r="D57" s="20" t="str">
        <x:v>F-rerev2-splasher-FIN</x:v>
      </x:c>
      <x:c r="E57" s="20" t="n">
        <x:v>45</x:v>
      </x:c>
      <x:c r="F57" s="20" t="n">
        <x:f>E57*4</x:f>
        <x:v>180</x:v>
      </x:c>
      <x:c r="G57" s="20" t="str">
        <x:v>Seulement les associations acceptées par la règle technique.</x:v>
      </x:c>
      <x:c r="H57" s="20" t="str">
        <x:v>SIMULATION / À VALIDER ARTISTIQUEMENT</x:v>
      </x:c>
    </x:row>
    <x:row r="58" ht="58" customHeight="1">
      <x:c r="A58" s="20" t="str">
        <x:v>rerev2-glasp</x:v>
      </x:c>
      <x:c r="B58" s="20" t="str">
        <x:v>GLASP</x:v>
      </x:c>
      <x:c r="C58" s="20" t="str">
        <x:v>unreviewed</x:v>
      </x:c>
      <x:c r="D58" s="20" t="str">
        <x:v>F-rerev2-glasp-FIN</x:v>
      </x:c>
      <x:c r="E58" s="20" t="n">
        <x:v>0</x:v>
      </x:c>
      <x:c r="F58" s="20" t="n">
        <x:f>E58*4</x:f>
        <x:v>0</x:v>
      </x:c>
      <x:c r="G58" s="20" t="str">
        <x:v>Gabarit non qualifié pour cette chorégraphie.</x:v>
      </x:c>
      <x:c r="H58" s="20" t="str">
        <x:v>SIMULATION / À VALIDER ARTISTIQUEMENT</x:v>
      </x:c>
    </x:row>
    <x:row r="59" ht="58" customHeight="1">
      <x:c r="A59" s="20" t="str">
        <x:v>rerev2-ironhead</x:v>
      </x:c>
      <x:c r="B59" s="20" t="str">
        <x:v>IRONHEAD</x:v>
      </x:c>
      <x:c r="C59" s="20" t="str">
        <x:v>biped</x:v>
      </x:c>
      <x:c r="D59" s="20" t="str">
        <x:v>F-rerev2-ironhead-FIN</x:v>
      </x:c>
      <x:c r="E59" s="20" t="n">
        <x:v>44</x:v>
      </x:c>
      <x:c r="F59" s="20" t="n">
        <x:f>E59*4</x:f>
        <x:v>176</x:v>
      </x:c>
      <x:c r="G59" s="20" t="str">
        <x:v>Seulement les associations acceptées par la règle technique.</x:v>
      </x:c>
      <x:c r="H59" s="20" t="str">
        <x:v>SIMULATION / À VALIDER ARTISTIQUEMENT</x:v>
      </x:c>
    </x:row>
    <x:row r="60" ht="58" customHeight="1">
      <x:c r="A60" s="20" t="str">
        <x:v>re1-chimera</x:v>
      </x:c>
      <x:c r="B60" s="20" t="str">
        <x:v>CHIMERA</x:v>
      </x:c>
      <x:c r="C60" s="20" t="str">
        <x:v>unreviewed</x:v>
      </x:c>
      <x:c r="D60" s="20" t="str">
        <x:v>F-re1-chimera-FIN</x:v>
      </x:c>
      <x:c r="E60" s="20" t="n">
        <x:v>0</x:v>
      </x:c>
      <x:c r="F60" s="20" t="n">
        <x:f>E60*4</x:f>
        <x:v>0</x:v>
      </x:c>
      <x:c r="G60" s="20" t="str">
        <x:v>Gabarit non qualifié pour cette chorégraphie.</x:v>
      </x:c>
      <x:c r="H60" s="20" t="str">
        <x:v>SIMULATION / À VALIDER ARTISTIQUEMENT</x:v>
      </x:c>
    </x:row>
    <x:row r="61" ht="58" customHeight="1">
      <x:c r="A61" s="20" t="str">
        <x:v>re1r-chimera</x:v>
      </x:c>
      <x:c r="B61" s="20" t="str">
        <x:v>CHIMERA</x:v>
      </x:c>
      <x:c r="C61" s="20" t="str">
        <x:v>unreviewed</x:v>
      </x:c>
      <x:c r="D61" s="20" t="str">
        <x:v>F-re1r-chimera-FIN</x:v>
      </x:c>
      <x:c r="E61" s="20" t="n">
        <x:v>0</x:v>
      </x:c>
      <x:c r="F61" s="20" t="n">
        <x:f>E61*4</x:f>
        <x:v>0</x:v>
      </x:c>
      <x:c r="G61" s="20" t="str">
        <x:v>Gabarit non qualifié pour cette chorégraphie.</x:v>
      </x:c>
      <x:c r="H61" s="20" t="str">
        <x:v>SIMULATION / À VALIDER ARTISTIQUEMENT</x:v>
      </x:c>
    </x:row>
    <x:row r="62" ht="58" customHeight="1">
      <x:c r="A62" s="20" t="str">
        <x:v>re1-hunter</x:v>
      </x:c>
      <x:c r="B62" s="20" t="str">
        <x:v>HUNTER Α — ARTWORK ORIGINAL</x:v>
      </x:c>
      <x:c r="C62" s="20" t="str">
        <x:v>biped</x:v>
      </x:c>
      <x:c r="D62" s="20" t="str">
        <x:v>F-re1-hunter-FIN</x:v>
      </x:c>
      <x:c r="E62" s="20" t="n">
        <x:v>31</x:v>
      </x:c>
      <x:c r="F62" s="20" t="n">
        <x:f>E62*4</x:f>
        <x:v>124</x:v>
      </x:c>
      <x:c r="G62" s="20" t="str">
        <x:v>Seulement les associations acceptées par la règle technique.</x:v>
      </x:c>
      <x:c r="H62" s="20" t="str">
        <x:v>SIMULATION / À VALIDER ARTISTIQUEMENT</x:v>
      </x:c>
    </x:row>
    <x:row r="63" ht="58" customHeight="1">
      <x:c r="A63" s="20" t="str">
        <x:v>re3-hunter-beta</x:v>
      </x:c>
      <x:c r="B63" s="20" t="str">
        <x:v>HUNTER Β</x:v>
      </x:c>
      <x:c r="C63" s="20" t="str">
        <x:v>biped</x:v>
      </x:c>
      <x:c r="D63" s="20" t="str">
        <x:v>F-re3-hunter-beta-FIN</x:v>
      </x:c>
      <x:c r="E63" s="20" t="n">
        <x:v>31</x:v>
      </x:c>
      <x:c r="F63" s="20" t="n">
        <x:f>E63*4</x:f>
        <x:v>124</x:v>
      </x:c>
      <x:c r="G63" s="20" t="str">
        <x:v>Seulement les associations acceptées par la règle technique.</x:v>
      </x:c>
      <x:c r="H63" s="20" t="str">
        <x:v>SIMULATION / À VALIDER ARTISTIQUEMENT</x:v>
      </x:c>
    </x:row>
    <x:row r="64" ht="58" customHeight="1">
      <x:c r="A64" s="20" t="str">
        <x:v>re3-hunter-gamma</x:v>
      </x:c>
      <x:c r="B64" s="20" t="str">
        <x:v>HUNTER Γ</x:v>
      </x:c>
      <x:c r="C64" s="20" t="str">
        <x:v>aquatic</x:v>
      </x:c>
      <x:c r="D64" s="20" t="str">
        <x:v>F-re3-hunter-gamma-FIN</x:v>
      </x:c>
      <x:c r="E64" s="20" t="n">
        <x:v>0</x:v>
      </x:c>
      <x:c r="F64" s="20" t="n">
        <x:f>E64*4</x:f>
        <x:v>0</x:v>
      </x:c>
      <x:c r="G64" s="20" t="str">
        <x:v>Sujet aquatique : scène et surface dédiées requises.</x:v>
      </x:c>
      <x:c r="H64" s="20" t="str">
        <x:v>SIMULATION / À VALIDER ARTISTIQUEMENT</x:v>
      </x:c>
    </x:row>
    <x:row r="65" ht="58" customHeight="1">
      <x:c r="A65" s="20" t="str">
        <x:v>re3r-hunter-gamma</x:v>
      </x:c>
      <x:c r="B65" s="20" t="str">
        <x:v>HUNTER Γ — GUEULE OUVERTE</x:v>
      </x:c>
      <x:c r="C65" s="20" t="str">
        <x:v>aquatic</x:v>
      </x:c>
      <x:c r="D65" s="20" t="str">
        <x:v>F-re3r-hunter-gamma-FIN</x:v>
      </x:c>
      <x:c r="E65" s="20" t="n">
        <x:v>0</x:v>
      </x:c>
      <x:c r="F65" s="20" t="n">
        <x:f>E65*4</x:f>
        <x:v>0</x:v>
      </x:c>
      <x:c r="G65" s="20" t="str">
        <x:v>Sujet aquatique : scène et surface dédiées requises.</x:v>
      </x:c>
      <x:c r="H65" s="20" t="str">
        <x:v>SIMULATION / À VALIDER ARTISTIQUEMENT</x:v>
      </x:c>
    </x:row>
    <x:row r="66" ht="58" customHeight="1">
      <x:c r="A66" s="20" t="str">
        <x:v>re4-bitores-mendez-mutated</x:v>
      </x:c>
      <x:c r="B66" s="20" t="str">
        <x:v>BITORES MÉNDEZ — FORME MUTÉE</x:v>
      </x:c>
      <x:c r="C66" s="20" t="str">
        <x:v>unreviewed</x:v>
      </x:c>
      <x:c r="D66" s="20" t="str">
        <x:v>F-re4-bitores-mendez-mutated-FIN</x:v>
      </x:c>
      <x:c r="E66" s="20" t="n">
        <x:v>0</x:v>
      </x:c>
      <x:c r="F66" s="20" t="n">
        <x:f>E66*4</x:f>
        <x:v>0</x:v>
      </x:c>
      <x:c r="G66" s="20" t="str">
        <x:v>Gabarit non qualifié pour cette chorégraphie.</x:v>
      </x:c>
      <x:c r="H66" s="20" t="str">
        <x:v>SIMULATION / À VALIDER ARTISTIQUEMENT</x:v>
      </x:c>
    </x:row>
    <x:row r="67" ht="58" customHeight="1">
      <x:c r="A67" s="20" t="str">
        <x:v>re4-el-gigante</x:v>
      </x:c>
      <x:c r="B67" s="20" t="str">
        <x:v>EL GIGANTE</x:v>
      </x:c>
      <x:c r="C67" s="20" t="str">
        <x:v>giant</x:v>
      </x:c>
      <x:c r="D67" s="20" t="str">
        <x:v>F-re4-el-gigante-FIN</x:v>
      </x:c>
      <x:c r="E67" s="20" t="n">
        <x:v>0</x:v>
      </x:c>
      <x:c r="F67" s="20" t="n">
        <x:f>E67*4</x:f>
        <x:v>0</x:v>
      </x:c>
      <x:c r="G67" s="20" t="str">
        <x:v>Géant : échelle et points de contact spécifiques requis.</x:v>
      </x:c>
      <x:c r="H67" s="20" t="str">
        <x:v>SIMULATION / À VALIDER ARTISTIQUEMENT</x:v>
      </x:c>
    </x:row>
    <x:row r="68" ht="58" customHeight="1">
      <x:c r="A68" s="20" t="str">
        <x:v>re4-iron-maiden</x:v>
      </x:c>
      <x:c r="B68" s="20" t="str">
        <x:v>IRON MAIDEN</x:v>
      </x:c>
      <x:c r="C68" s="20" t="str">
        <x:v>biped</x:v>
      </x:c>
      <x:c r="D68" s="20" t="str">
        <x:v>F-re4-iron-maiden-FIN</x:v>
      </x:c>
      <x:c r="E68" s="20" t="n">
        <x:v>45</x:v>
      </x:c>
      <x:c r="F68" s="20" t="n">
        <x:f>E68*4</x:f>
        <x:v>180</x:v>
      </x:c>
      <x:c r="G68" s="20" t="str">
        <x:v>Seulement les associations acceptées par la règle technique.</x:v>
      </x:c>
      <x:c r="H68" s="20" t="str">
        <x:v>SIMULATION / À VALIDER ARTISTIQUEMENT</x:v>
      </x:c>
    </x:row>
    <x:row r="69" ht="58" customHeight="1">
      <x:c r="A69" s="20" t="str">
        <x:v>re4-novistador</x:v>
      </x:c>
      <x:c r="B69" s="20" t="str">
        <x:v>NOVISTADOR</x:v>
      </x:c>
      <x:c r="C69" s="20" t="str">
        <x:v>unreviewed</x:v>
      </x:c>
      <x:c r="D69" s="20" t="str">
        <x:v>F-re4-novistador-FIN</x:v>
      </x:c>
      <x:c r="E69" s="20" t="n">
        <x:v>0</x:v>
      </x:c>
      <x:c r="F69" s="20" t="n">
        <x:f>E69*4</x:f>
        <x:v>0</x:v>
      </x:c>
      <x:c r="G69" s="20" t="str">
        <x:v>Gabarit non qualifié pour cette chorégraphie.</x:v>
      </x:c>
      <x:c r="H69" s="20" t="str">
        <x:v>SIMULATION / À VALIDER ARTISTIQUEMENT</x:v>
      </x:c>
    </x:row>
    <x:row r="70" ht="58" customHeight="1">
      <x:c r="A70" s="20" t="str">
        <x:v>recv-albinoid-adult</x:v>
      </x:c>
      <x:c r="B70" s="20" t="str">
        <x:v>ALBINOID — ADULTE</x:v>
      </x:c>
      <x:c r="C70" s="20" t="str">
        <x:v>aquatic</x:v>
      </x:c>
      <x:c r="D70" s="20" t="str">
        <x:v>F-recv-albinoid-adult-FIN</x:v>
      </x:c>
      <x:c r="E70" s="20" t="n">
        <x:v>0</x:v>
      </x:c>
      <x:c r="F70" s="20" t="n">
        <x:f>E70*4</x:f>
        <x:v>0</x:v>
      </x:c>
      <x:c r="G70" s="20" t="str">
        <x:v>Sujet aquatique : scène et surface dédiées requises.</x:v>
      </x:c>
      <x:c r="H70" s="20" t="str">
        <x:v>SIMULATION / À VALIDER ARTISTIQUEMENT</x:v>
      </x:c>
    </x:row>
    <x:row r="71" ht="58" customHeight="1">
      <x:c r="A71" s="20" t="str">
        <x:v>recv-alexia</x:v>
      </x:c>
      <x:c r="B71" s="20" t="str">
        <x:v>ALEXIA — PREMIÈRE FORME</x:v>
      </x:c>
      <x:c r="C71" s="20" t="str">
        <x:v>biped</x:v>
      </x:c>
      <x:c r="D71" s="20" t="str">
        <x:v>F-recv-alexia-FIN</x:v>
      </x:c>
      <x:c r="E71" s="20" t="n">
        <x:v>45</x:v>
      </x:c>
      <x:c r="F71" s="20" t="n">
        <x:f>E71*4</x:f>
        <x:v>180</x:v>
      </x:c>
      <x:c r="G71" s="20" t="str">
        <x:v>Seulement les associations acceptées par la règle technique.</x:v>
      </x:c>
      <x:c r="H71" s="20" t="str">
        <x:v>SIMULATION / À VALIDER ARTISTIQUEMENT</x:v>
      </x:c>
    </x:row>
    <x:row r="72" ht="58" customHeight="1">
      <x:c r="A72" s="20" t="str">
        <x:v>recv-alexia-ashford-third-form</x:v>
      </x:c>
      <x:c r="B72" s="20" t="str">
        <x:v>ALEXIA — TROISIÈME FORME</x:v>
      </x:c>
      <x:c r="C72" s="20" t="str">
        <x:v>winged</x:v>
      </x:c>
      <x:c r="D72" s="20" t="str">
        <x:v>F-recv-alexia-ashford-third-form-FIN</x:v>
      </x:c>
      <x:c r="E72" s="20" t="n">
        <x:v>0</x:v>
      </x:c>
      <x:c r="F72" s="20" t="n">
        <x:f>E72*4</x:f>
        <x:v>0</x:v>
      </x:c>
      <x:c r="G72" s="20" t="str">
        <x:v>Morphologie volante : scène dédiée requise.</x:v>
      </x:c>
      <x:c r="H72" s="20" t="str">
        <x:v>SIMULATION / À VALIDER ARTISTIQUEMENT</x:v>
      </x:c>
    </x:row>
    <x:row r="73" ht="58" customHeight="1">
      <x:c r="A73" s="20" t="str">
        <x:v>recv-bandersnatch</x:v>
      </x:c>
      <x:c r="B73" s="20" t="str">
        <x:v>BANDERSNATCH</x:v>
      </x:c>
      <x:c r="C73" s="20" t="str">
        <x:v>biped</x:v>
      </x:c>
      <x:c r="D73" s="20" t="str">
        <x:v>F-recv-bandersnatch-FIN</x:v>
      </x:c>
      <x:c r="E73" s="20" t="n">
        <x:v>45</x:v>
      </x:c>
      <x:c r="F73" s="20" t="n">
        <x:f>E73*4</x:f>
        <x:v>180</x:v>
      </x:c>
      <x:c r="G73" s="20" t="str">
        <x:v>Seulement les associations acceptées par la règle technique.</x:v>
      </x:c>
      <x:c r="H73" s="20" t="str">
        <x:v>SIMULATION / À VALIDER ARTISTIQUEMENT</x:v>
      </x:c>
    </x:row>
    <x:row r="74" ht="58" customHeight="1">
      <x:c r="A74" s="20" t="str">
        <x:v>recv-tyrant</x:v>
      </x:c>
      <x:c r="B74" s="20" t="str">
        <x:v>TYRANT T-078</x:v>
      </x:c>
      <x:c r="C74" s="20" t="str">
        <x:v>biped</x:v>
      </x:c>
      <x:c r="D74" s="20" t="str">
        <x:v>F-recv-tyrant-FIN</x:v>
      </x:c>
      <x:c r="E74" s="20" t="n">
        <x:v>45</x:v>
      </x:c>
      <x:c r="F74" s="20" t="n">
        <x:f>E74*4</x:f>
        <x:v>180</x:v>
      </x:c>
      <x:c r="G74" s="20" t="str">
        <x:v>Seulement les associations acceptées par la règle technique.</x:v>
      </x:c>
      <x:c r="H74" s="20" t="str">
        <x:v>SIMULATION / À VALIDER ARTISTIQUEMENT</x:v>
      </x:c>
    </x:row>
    <x:row r="75" ht="58" customHeight="1">
      <x:c r="A75" s="20" t="str">
        <x:v>rerev-draghignazzo</x:v>
      </x:c>
      <x:c r="B75" s="20" t="str">
        <x:v>DRAGHIGNAZZO</x:v>
      </x:c>
      <x:c r="C75" s="20" t="str">
        <x:v>unreviewed</x:v>
      </x:c>
      <x:c r="D75" s="20" t="str">
        <x:v>F-rerev-draghignazzo-FIN</x:v>
      </x:c>
      <x:c r="E75" s="20" t="n">
        <x:v>0</x:v>
      </x:c>
      <x:c r="F75" s="20" t="n">
        <x:f>E75*4</x:f>
        <x:v>0</x:v>
      </x:c>
      <x:c r="G75" s="20" t="str">
        <x:v>Gabarit non qualifié pour cette chorégraphie.</x:v>
      </x:c>
      <x:c r="H75" s="20" t="str">
        <x:v>SIMULATION / À VALIDER ARTISTIQUEMENT</x:v>
      </x:c>
    </x:row>
    <x:row r="76" ht="58" customHeight="1">
      <x:c r="A76" s="20" t="str">
        <x:v>rerev-farfarello</x:v>
      </x:c>
      <x:c r="B76" s="20" t="str">
        <x:v>FARFARELLO</x:v>
      </x:c>
      <x:c r="C76" s="20" t="str">
        <x:v>biped</x:v>
      </x:c>
      <x:c r="D76" s="20" t="str">
        <x:v>F-rerev-farfarello-FIN</x:v>
      </x:c>
      <x:c r="E76" s="20" t="n">
        <x:v>44</x:v>
      </x:c>
      <x:c r="F76" s="20" t="n">
        <x:f>E76*4</x:f>
        <x:v>176</x:v>
      </x:c>
      <x:c r="G76" s="20" t="str">
        <x:v>Seulement les associations acceptées par la règle technique.</x:v>
      </x:c>
      <x:c r="H76" s="20" t="str">
        <x:v>SIMULATION / À VALIDER ARTISTIQUEMENT</x:v>
      </x:c>
    </x:row>
    <x:row r="77" ht="58" customHeight="1">
      <x:c r="A77" s="20" t="str">
        <x:v>rerev-globster</x:v>
      </x:c>
      <x:c r="B77" s="20" t="str">
        <x:v>GLOBSTER</x:v>
      </x:c>
      <x:c r="C77" s="20" t="str">
        <x:v>colony</x:v>
      </x:c>
      <x:c r="D77" s="20" t="str">
        <x:v>F-rerev-globster-FIN</x:v>
      </x:c>
      <x:c r="E77" s="20" t="n">
        <x:v>0</x:v>
      </x:c>
      <x:c r="F77" s="20" t="n">
        <x:f>E77*4</x:f>
        <x:v>0</x:v>
      </x:c>
      <x:c r="G77" s="20" t="str">
        <x:v>Masse ou colonie : la chute générique est inadaptée.</x:v>
      </x:c>
      <x:c r="H77" s="20" t="str">
        <x:v>SIMULATION / À VALIDER ARTISTIQUEMENT</x:v>
      </x:c>
    </x:row>
    <x:row r="78" ht="58" customHeight="1">
      <x:c r="A78" s="20" t="str">
        <x:v>rerev-rachael-ooze</x:v>
      </x:c>
      <x:c r="B78" s="20" t="str">
        <x:v>OOZE RACHAEL</x:v>
      </x:c>
      <x:c r="C78" s="20" t="str">
        <x:v>biped</x:v>
      </x:c>
      <x:c r="D78" s="20" t="str">
        <x:v>F-rerev-rachael-ooze-FIN</x:v>
      </x:c>
      <x:c r="E78" s="20" t="n">
        <x:v>45</x:v>
      </x:c>
      <x:c r="F78" s="20" t="n">
        <x:f>E78*4</x:f>
        <x:v>180</x:v>
      </x:c>
      <x:c r="G78" s="20" t="str">
        <x:v>Seulement les associations acceptées par la règle technique.</x:v>
      </x:c>
      <x:c r="H78" s="20" t="str">
        <x:v>SIMULATION / À VALIDER ARTISTIQUEMENT</x:v>
      </x:c>
    </x:row>
    <x:row r="79" ht="58" customHeight="1">
      <x:c r="A79" s="20" t="str">
        <x:v>rerev-sea-creeper</x:v>
      </x:c>
      <x:c r="B79" s="20" t="str">
        <x:v>SEA CREEPER</x:v>
      </x:c>
      <x:c r="C79" s="20" t="str">
        <x:v>low</x:v>
      </x:c>
      <x:c r="D79" s="20" t="str">
        <x:v>F-rerev-sea-creeper-FIN</x:v>
      </x:c>
      <x:c r="E79" s="20" t="n">
        <x:v>54</x:v>
      </x:c>
      <x:c r="F79" s="20" t="n">
        <x:f>E79*4</x:f>
        <x:v>216</x:v>
      </x:c>
      <x:c r="G79" s="20" t="str">
        <x:v>Seulement les associations acceptées par la règle technique.</x:v>
      </x:c>
      <x:c r="H79" s="20" t="str">
        <x:v>SIMULATION / À VALIDER ARTISTIQUEMENT</x:v>
      </x:c>
    </x:row>
    <x:row r="80" ht="58" customHeight="1">
      <x:c r="A80" s="20" t="str">
        <x:v>re7-jack-baker-mutated</x:v>
      </x:c>
      <x:c r="B80" s="20" t="str">
        <x:v>JACK BAKER — FORME MUTÉE</x:v>
      </x:c>
      <x:c r="C80" s="20" t="str">
        <x:v>low</x:v>
      </x:c>
      <x:c r="D80" s="20" t="str">
        <x:v>F-re7-jack-baker-mutated-FIN</x:v>
      </x:c>
      <x:c r="E80" s="20" t="n">
        <x:v>0</x:v>
      </x:c>
      <x:c r="F80" s="20" t="n">
        <x:f>E80*4</x:f>
        <x:v>0</x:v>
      </x:c>
      <x:c r="G80" s="20" t="str">
        <x:v>Seulement les associations acceptées par la règle technique.</x:v>
      </x:c>
      <x:c r="H80" s="20" t="str">
        <x:v>SIMULATION / À VALIDER ARTISTIQUEMENT</x:v>
      </x:c>
    </x:row>
    <x:row r="81" ht="58" customHeight="1">
      <x:c r="A81" s="20" t="str">
        <x:v>re7-jack-baker-swamp-man</x:v>
      </x:c>
      <x:c r="B81" s="20" t="str">
        <x:v>JACK BAKER — SWAMP MAN</x:v>
      </x:c>
      <x:c r="C81" s="20" t="str">
        <x:v>biped</x:v>
      </x:c>
      <x:c r="D81" s="20" t="str">
        <x:v>F-re7-jack-baker-swamp-man-FIN</x:v>
      </x:c>
      <x:c r="E81" s="20" t="n">
        <x:v>45</x:v>
      </x:c>
      <x:c r="F81" s="20" t="n">
        <x:f>E81*4</x:f>
        <x:v>180</x:v>
      </x:c>
      <x:c r="G81" s="20" t="str">
        <x:v>Seulement les associations acceptées par la règle technique.</x:v>
      </x:c>
      <x:c r="H81" s="20" t="str">
        <x:v>SIMULATION / À VALIDER ARTISTIQUEMENT</x:v>
      </x:c>
    </x:row>
    <x:row r="82" ht="58" customHeight="1">
      <x:c r="A82" s="20" t="str">
        <x:v>re7-marguerite-baker-mutated</x:v>
      </x:c>
      <x:c r="B82" s="20" t="str">
        <x:v>MARGUERITE BAKER — FORME MUTÉE</x:v>
      </x:c>
      <x:c r="C82" s="20" t="str">
        <x:v>unreviewed</x:v>
      </x:c>
      <x:c r="D82" s="20" t="str">
        <x:v>F-re7-marguerite-baker-mutated-FIN</x:v>
      </x:c>
      <x:c r="E82" s="20" t="n">
        <x:v>0</x:v>
      </x:c>
      <x:c r="F82" s="20" t="n">
        <x:f>E82*4</x:f>
        <x:v>0</x:v>
      </x:c>
      <x:c r="G82" s="20" t="str">
        <x:v>Gabarit non qualifié pour cette chorégraphie.</x:v>
      </x:c>
      <x:c r="H82" s="20" t="str">
        <x:v>SIMULATION / À VALIDER ARTISTIQUEMENT</x:v>
      </x:c>
    </x:row>
    <x:row r="83" ht="58" customHeight="1">
      <x:c r="A83" s="20" t="str">
        <x:v>re7-lucas-baker-mutated</x:v>
      </x:c>
      <x:c r="B83" s="20" t="str">
        <x:v>LUCAS BAKER — FORME MUTÉE</x:v>
      </x:c>
      <x:c r="C83" s="20" t="str">
        <x:v>unreviewed</x:v>
      </x:c>
      <x:c r="D83" s="20" t="str">
        <x:v>F-re7-lucas-baker-mutated-FIN</x:v>
      </x:c>
      <x:c r="E83" s="20" t="n">
        <x:v>0</x:v>
      </x:c>
      <x:c r="F83" s="20" t="n">
        <x:f>E83*4</x:f>
        <x:v>0</x:v>
      </x:c>
      <x:c r="G83" s="20" t="str">
        <x:v>Gabarit non qualifié pour cette chorégraphie.</x:v>
      </x:c>
      <x:c r="H83" s="20" t="str">
        <x:v>SIMULATION / À VALIDER ARTISTIQUEMENT</x:v>
      </x:c>
    </x:row>
    <x:row r="84" ht="58" customHeight="1">
      <x:c r="A84" s="20" t="str">
        <x:v>re7-eveline-final</x:v>
      </x:c>
      <x:c r="B84" s="20" t="str">
        <x:v>EVELINE — FORME FINALE</x:v>
      </x:c>
      <x:c r="C84" s="20" t="str">
        <x:v>colony</x:v>
      </x:c>
      <x:c r="D84" s="20" t="str">
        <x:v>F-re7-eveline-final-FIN</x:v>
      </x:c>
      <x:c r="E84" s="20" t="n">
        <x:v>0</x:v>
      </x:c>
      <x:c r="F84" s="20" t="n">
        <x:f>E84*4</x:f>
        <x:v>0</x:v>
      </x:c>
      <x:c r="G84" s="20" t="str">
        <x:v>Masse ou colonie : la chute générique est inadaptée.</x:v>
      </x:c>
      <x:c r="H84" s="20" t="str">
        <x:v>SIMULATION / À VALIDER ARTISTIQUEMENT</x:v>
      </x:c>
    </x:row>
    <x:row r="85" ht="58" customHeight="1">
      <x:c r="A85" s="20" t="str">
        <x:v>re7-fumer</x:v>
      </x:c>
      <x:c r="B85" s="20" t="str">
        <x:v>FUMER (WM-002)</x:v>
      </x:c>
      <x:c r="C85" s="20" t="str">
        <x:v>biped</x:v>
      </x:c>
      <x:c r="D85" s="20" t="str">
        <x:v>F-re7-fumer-FIN</x:v>
      </x:c>
      <x:c r="E85" s="20" t="n">
        <x:v>45</x:v>
      </x:c>
      <x:c r="F85" s="20" t="n">
        <x:f>E85*4</x:f>
        <x:v>180</x:v>
      </x:c>
      <x:c r="G85" s="20" t="str">
        <x:v>Seulement les associations acceptées par la règle technique.</x:v>
      </x:c>
      <x:c r="H85" s="20" t="str">
        <x:v>SIMULATION / À VALIDER ARTISTIQUEMENT</x:v>
      </x:c>
    </x:row>
    <x:row r="86" ht="58" customHeight="1">
      <x:c r="A86" s="20" t="str">
        <x:v>re2r-super-tyrant</x:v>
      </x:c>
      <x:c r="B86" s="20" t="str">
        <x:v>SUPER TYRANT — T-103 LIBÉRÉ</x:v>
      </x:c>
      <x:c r="C86" s="20" t="str">
        <x:v>biped</x:v>
      </x:c>
      <x:c r="D86" s="20" t="str">
        <x:v>F-re2r-super-tyrant-FIN</x:v>
      </x:c>
      <x:c r="E86" s="20" t="n">
        <x:v>44</x:v>
      </x:c>
      <x:c r="F86" s="20" t="n">
        <x:f>E86*4</x:f>
        <x:v>176</x:v>
      </x:c>
      <x:c r="G86" s="20" t="str">
        <x:v>Seulement les associations acceptées par la règle technique.</x:v>
      </x:c>
      <x:c r="H86" s="20" t="str">
        <x:v>SIMULATION / À VALIDER ARTISTIQUEMENT</x:v>
      </x:c>
    </x:row>
    <x:row r="87" ht="58" customHeight="1">
      <x:c r="A87" s="20" t="str">
        <x:v>re3r-stage-2-nemesis</x:v>
      </x:c>
      <x:c r="B87" s="20" t="str">
        <x:v>NEMESIS — STADE 2</x:v>
      </x:c>
      <x:c r="C87" s="20" t="str">
        <x:v>low</x:v>
      </x:c>
      <x:c r="D87" s="20" t="str">
        <x:v>F-re3r-stage-2-nemesis-FIN</x:v>
      </x:c>
      <x:c r="E87" s="20" t="n">
        <x:v>0</x:v>
      </x:c>
      <x:c r="F87" s="20" t="n">
        <x:f>E87*4</x:f>
        <x:v>0</x:v>
      </x:c>
      <x:c r="G87" s="20" t="str">
        <x:v>Seulement les associations acceptées par la règle technique.</x:v>
      </x:c>
      <x:c r="H87" s="20" t="str">
        <x:v>SIMULATION / À VALIDER ARTISTIQUEMENT</x:v>
      </x:c>
    </x:row>
    <x:row r="88" ht="58" customHeight="1">
      <x:c r="A88" s="20" t="str">
        <x:v>re3r-stage-3-nemesis</x:v>
      </x:c>
      <x:c r="B88" s="20" t="str">
        <x:v>NEMESIS — STADE 3</x:v>
      </x:c>
      <x:c r="C88" s="20" t="str">
        <x:v>colony</x:v>
      </x:c>
      <x:c r="D88" s="20" t="str">
        <x:v>F-re3r-stage-3-nemesis-FIN</x:v>
      </x:c>
      <x:c r="E88" s="20" t="n">
        <x:v>0</x:v>
      </x:c>
      <x:c r="F88" s="20" t="n">
        <x:f>E88*4</x:f>
        <x:v>0</x:v>
      </x:c>
      <x:c r="G88" s="20" t="str">
        <x:v>Masse ou colonie : la chute générique est inadaptée.</x:v>
      </x:c>
      <x:c r="H88" s="20" t="str">
        <x:v>SIMULATION / À VALIDER ARTISTIQUEMENT</x:v>
      </x:c>
    </x:row>
    <x:row r="89" ht="58" customHeight="1">
      <x:c r="A89" s="20" t="str">
        <x:v>re4r-del-lago</x:v>
      </x:c>
      <x:c r="B89" s="20" t="str">
        <x:v>DEL LAGO</x:v>
      </x:c>
      <x:c r="C89" s="20" t="str">
        <x:v>aquatic</x:v>
      </x:c>
      <x:c r="D89" s="20" t="str">
        <x:v>F-re4r-del-lago-FIN</x:v>
      </x:c>
      <x:c r="E89" s="20" t="n">
        <x:v>0</x:v>
      </x:c>
      <x:c r="F89" s="20" t="n">
        <x:f>E89*4</x:f>
        <x:v>0</x:v>
      </x:c>
      <x:c r="G89" s="20" t="str">
        <x:v>Sujet aquatique : scène et surface dédiées requises.</x:v>
      </x:c>
      <x:c r="H89" s="20" t="str">
        <x:v>SIMULATION / À VALIDER ARTISTIQUEMENT</x:v>
      </x:c>
    </x:row>
    <x:row r="90" ht="58" customHeight="1">
      <x:c r="A90" s="20" t="str">
        <x:v>re4r-garrador</x:v>
      </x:c>
      <x:c r="B90" s="20" t="str">
        <x:v>GARRADOR</x:v>
      </x:c>
      <x:c r="C90" s="20" t="str">
        <x:v>biped</x:v>
      </x:c>
      <x:c r="D90" s="20" t="str">
        <x:v>F-re4r-garrador-FIN</x:v>
      </x:c>
      <x:c r="E90" s="20" t="n">
        <x:v>45</x:v>
      </x:c>
      <x:c r="F90" s="20" t="n">
        <x:f>E90*4</x:f>
        <x:v>180</x:v>
      </x:c>
      <x:c r="G90" s="20" t="str">
        <x:v>Seulement les associations acceptées par la règle technique.</x:v>
      </x:c>
      <x:c r="H90" s="20" t="str">
        <x:v>SIMULATION / À VALIDER ARTISTIQUEMENT</x:v>
      </x:c>
    </x:row>
    <x:row r="91" ht="58" customHeight="1">
      <x:c r="A91" s="20" t="str">
        <x:v>re4r-iron-maiden</x:v>
      </x:c>
      <x:c r="B91" s="20" t="str">
        <x:v>IRON MAIDEN</x:v>
      </x:c>
      <x:c r="C91" s="20" t="str">
        <x:v>biped</x:v>
      </x:c>
      <x:c r="D91" s="20" t="str">
        <x:v>F-re4r-iron-maiden-FIN</x:v>
      </x:c>
      <x:c r="E91" s="20" t="n">
        <x:v>45</x:v>
      </x:c>
      <x:c r="F91" s="20" t="n">
        <x:f>E91*4</x:f>
        <x:v>180</x:v>
      </x:c>
      <x:c r="G91" s="20" t="str">
        <x:v>Seulement les associations acceptées par la règle technique.</x:v>
      </x:c>
      <x:c r="H91" s="20" t="str">
        <x:v>SIMULATION / À VALIDER ARTISTIQUEMENT</x:v>
      </x:c>
    </x:row>
    <x:row r="92" ht="58" customHeight="1">
      <x:c r="A92" s="20" t="str">
        <x:v>re4r-ramon-salazar-mutated</x:v>
      </x:c>
      <x:c r="B92" s="20" t="str">
        <x:v>RAMÓN SALAZAR — MUTATION</x:v>
      </x:c>
      <x:c r="C92" s="20" t="str">
        <x:v>winged</x:v>
      </x:c>
      <x:c r="D92" s="20" t="str">
        <x:v>F-re4r-ramon-salazar-mutated-FIN</x:v>
      </x:c>
      <x:c r="E92" s="20" t="n">
        <x:v>0</x:v>
      </x:c>
      <x:c r="F92" s="20" t="n">
        <x:f>E92*4</x:f>
        <x:v>0</x:v>
      </x:c>
      <x:c r="G92" s="20" t="str">
        <x:v>Morphologie volante : scène dédiée requise.</x:v>
      </x:c>
      <x:c r="H92" s="20" t="str">
        <x:v>SIMULATION / À VALIDER ARTISTIQUEMENT</x:v>
      </x:c>
    </x:row>
    <x:row r="93" ht="58" customHeight="1">
      <x:c r="A93" s="20" t="str">
        <x:v>re4r-osmund-saddler-mutated</x:v>
      </x:c>
      <x:c r="B93" s="20" t="str">
        <x:v>OSMUND SADDLER — MUTATION</x:v>
      </x:c>
      <x:c r="C93" s="20" t="str">
        <x:v>unreviewed</x:v>
      </x:c>
      <x:c r="D93" s="20" t="str">
        <x:v>F-re4r-osmund-saddler-mutated-FIN</x:v>
      </x:c>
      <x:c r="E93" s="20" t="n">
        <x:v>0</x:v>
      </x:c>
      <x:c r="F93" s="20" t="n">
        <x:f>E93*4</x:f>
        <x:v>0</x:v>
      </x:c>
      <x:c r="G93" s="20" t="str">
        <x:v>Gabarit non qualifié pour cette chorégraphie.</x:v>
      </x:c>
      <x:c r="H93" s="20" t="str">
        <x:v>SIMULATION / À VALIDER ARTISTIQUEMENT</x:v>
      </x:c>
    </x:row>
    <x:row r="94" ht="58" customHeight="1">
      <x:c r="A94" s="20" t="str">
        <x:v>revillage-mutated-dimitrescu</x:v>
      </x:c>
      <x:c r="B94" s="20" t="str">
        <x:v>ALCINA DIMITRESCU — MUTATION</x:v>
      </x:c>
      <x:c r="C94" s="20" t="str">
        <x:v>winged</x:v>
      </x:c>
      <x:c r="D94" s="20" t="str">
        <x:v>F-revillage-mutated-dimitrescu-FIN</x:v>
      </x:c>
      <x:c r="E94" s="20" t="n">
        <x:v>0</x:v>
      </x:c>
      <x:c r="F94" s="20" t="n">
        <x:f>E94*4</x:f>
        <x:v>0</x:v>
      </x:c>
      <x:c r="G94" s="20" t="str">
        <x:v>Morphologie volante : scène dédiée requise.</x:v>
      </x:c>
      <x:c r="H94" s="20" t="str">
        <x:v>SIMULATION / À VALIDER ARTISTIQUEMENT</x:v>
      </x:c>
    </x:row>
    <x:row r="95" ht="58" customHeight="1">
      <x:c r="A95" s="20" t="str">
        <x:v>revillage-mutated-moreau</x:v>
      </x:c>
      <x:c r="B95" s="20" t="str">
        <x:v>SALVATORE MOREAU — MUTATION</x:v>
      </x:c>
      <x:c r="C95" s="20" t="str">
        <x:v>aquatic</x:v>
      </x:c>
      <x:c r="D95" s="20" t="str">
        <x:v>F-revillage-mutated-moreau-FIN</x:v>
      </x:c>
      <x:c r="E95" s="20" t="n">
        <x:v>0</x:v>
      </x:c>
      <x:c r="F95" s="20" t="n">
        <x:f>E95*4</x:f>
        <x:v>0</x:v>
      </x:c>
      <x:c r="G95" s="20" t="str">
        <x:v>Sujet aquatique : scène et surface dédiées requises.</x:v>
      </x:c>
      <x:c r="H95" s="20" t="str">
        <x:v>SIMULATION / À VALIDER ARTISTIQUEMENT</x:v>
      </x:c>
    </x:row>
    <x:row r="96" ht="58" customHeight="1">
      <x:c r="A96" s="20" t="str">
        <x:v>revillage-mutated-heisenberg</x:v>
      </x:c>
      <x:c r="B96" s="20" t="str">
        <x:v>KARL HEISENBERG — MUTATION</x:v>
      </x:c>
      <x:c r="C96" s="20" t="str">
        <x:v>mechanical</x:v>
      </x:c>
      <x:c r="D96" s="20" t="str">
        <x:v>F-revillage-mutated-heisenberg-FIN</x:v>
      </x:c>
      <x:c r="E96" s="20" t="n">
        <x:v>0</x:v>
      </x:c>
      <x:c r="F96" s="20" t="n">
        <x:f>E96*4</x:f>
        <x:v>0</x:v>
      </x:c>
      <x:c r="G96" s="20" t="str">
        <x:v>Corps mécanique : conclusion spécifique requise.</x:v>
      </x:c>
      <x:c r="H96" s="20" t="str">
        <x:v>SIMULATION / À VALIDER ARTISTIQUEMENT</x:v>
      </x:c>
    </x:row>
    <x:row r="97" ht="58" customHeight="1">
      <x:c r="A97" s="20" t="str">
        <x:v>re6-ustanak</x:v>
      </x:c>
      <x:c r="B97" s="20" t="str">
        <x:v>USTANAK</x:v>
      </x:c>
      <x:c r="C97" s="20" t="str">
        <x:v>biped</x:v>
      </x:c>
      <x:c r="D97" s="20" t="str">
        <x:v>F-re6-ustanak-FIN</x:v>
      </x:c>
      <x:c r="E97" s="20" t="n">
        <x:v>44</x:v>
      </x:c>
      <x:c r="F97" s="20" t="n">
        <x:f>E97*4</x:f>
        <x:v>176</x:v>
      </x:c>
      <x:c r="G97" s="20" t="str">
        <x:v>Seulement les associations acceptées par la règle technique.</x:v>
      </x:c>
      <x:c r="H97" s="20" t="str">
        <x:v>SIMULATION / À VALIDER ARTISTIQUEMENT</x:v>
      </x:c>
    </x:row>
    <x:row r="98" ht="58" customHeight="1">
      <x:c r="A98" s="20" t="str">
        <x:v>re7-mia-winters-infected</x:v>
      </x:c>
      <x:c r="B98" s="20" t="str">
        <x:v>MIA WINTERS — INFECTÉE</x:v>
      </x:c>
      <x:c r="C98" s="20" t="str">
        <x:v>biped</x:v>
      </x:c>
      <x:c r="D98" s="20" t="str">
        <x:v>F-re7-mia-winters-infected-FIN</x:v>
      </x:c>
      <x:c r="E98" s="20" t="n">
        <x:v>45</x:v>
      </x:c>
      <x:c r="F98" s="20" t="n">
        <x:f>E98*4</x:f>
        <x:v>180</x:v>
      </x:c>
      <x:c r="G98" s="20" t="str">
        <x:v>Seulement les associations acceptées par la règle technique.</x:v>
      </x:c>
      <x:c r="H98" s="20" t="str">
        <x:v>SIMULATION / À VALIDER ARTISTIQUEMENT</x:v>
      </x:c>
    </x:row>
    <x:row r="99" ht="58" customHeight="1">
      <x:c r="A99" s="20" t="str">
        <x:v>re7-jack-baker</x:v>
      </x:c>
      <x:c r="B99" s="20" t="str">
        <x:v>JACK BAKER — FORME HUMAINE</x:v>
      </x:c>
      <x:c r="C99" s="20" t="str">
        <x:v>biped</x:v>
      </x:c>
      <x:c r="D99" s="20" t="str">
        <x:v>F-re7-jack-baker-FIN</x:v>
      </x:c>
      <x:c r="E99" s="20" t="n">
        <x:v>45</x:v>
      </x:c>
      <x:c r="F99" s="20" t="n">
        <x:f>E99*4</x:f>
        <x:v>180</x:v>
      </x:c>
      <x:c r="G99" s="20" t="str">
        <x:v>Seulement les associations acceptées par la règle technique.</x:v>
      </x:c>
      <x:c r="H99" s="20" t="str">
        <x:v>SIMULATION / À VALIDER ARTISTIQUEMENT</x:v>
      </x:c>
    </x:row>
    <x:row r="100" ht="58" customHeight="1">
      <x:c r="A100" s="20" t="str">
        <x:v>re7-jack-baker-scissor</x:v>
      </x:c>
      <x:c r="B100" s="20" t="str">
        <x:v>JACK BAKER — SCIE À CISEAUX</x:v>
      </x:c>
      <x:c r="C100" s="20" t="str">
        <x:v>biped</x:v>
      </x:c>
      <x:c r="D100" s="20" t="str">
        <x:v>F-re7-jack-baker-scissor-FIN</x:v>
      </x:c>
      <x:c r="E100" s="20" t="n">
        <x:v>45</x:v>
      </x:c>
      <x:c r="F100" s="20" t="n">
        <x:f>E100*4</x:f>
        <x:v>180</x:v>
      </x:c>
      <x:c r="G100" s="20" t="str">
        <x:v>Seulement les associations acceptées par la règle technique.</x:v>
      </x:c>
      <x:c r="H100" s="20" t="str">
        <x:v>SIMULATION / À VALIDER ARTISTIQUEMENT</x:v>
      </x:c>
    </x:row>
    <x:row r="101" ht="58" customHeight="1">
      <x:c r="A101" s="20" t="str">
        <x:v>re7-marguerite-baker</x:v>
      </x:c>
      <x:c r="B101" s="20" t="str">
        <x:v>MARGUERITE BAKER — FORME HUMAINE</x:v>
      </x:c>
      <x:c r="C101" s="20" t="str">
        <x:v>biped</x:v>
      </x:c>
      <x:c r="D101" s="20" t="str">
        <x:v>F-re7-marguerite-baker-FIN</x:v>
      </x:c>
      <x:c r="E101" s="20" t="n">
        <x:v>45</x:v>
      </x:c>
      <x:c r="F101" s="20" t="n">
        <x:f>E101*4</x:f>
        <x:v>180</x:v>
      </x:c>
      <x:c r="G101" s="20" t="str">
        <x:v>Seulement les associations acceptées par la règle technique.</x:v>
      </x:c>
      <x:c r="H101" s="20" t="str">
        <x:v>SIMULATION / À VALIDER ARTISTIQUEMENT</x:v>
      </x:c>
    </x:row>
    <x:row r="102" ht="58" customHeight="1">
      <x:c r="A102" s="20" t="str">
        <x:v>re7-lucas-baker</x:v>
      </x:c>
      <x:c r="B102" s="20" t="str">
        <x:v>LUCAS BAKER — FORME HUMAINE</x:v>
      </x:c>
      <x:c r="C102" s="20" t="str">
        <x:v>biped</x:v>
      </x:c>
      <x:c r="D102" s="20" t="str">
        <x:v>F-re7-lucas-baker-FIN</x:v>
      </x:c>
      <x:c r="E102" s="20" t="n">
        <x:v>45</x:v>
      </x:c>
      <x:c r="F102" s="20" t="n">
        <x:f>E102*4</x:f>
        <x:v>180</x:v>
      </x:c>
      <x:c r="G102" s="20" t="str">
        <x:v>Seulement les associations acceptées par la règle technique.</x:v>
      </x:c>
      <x:c r="H102" s="20" t="str">
        <x:v>SIMULATION / À VALIDER ARTISTIQUEMENT</x:v>
      </x:c>
    </x:row>
    <x:row r="103" ht="58" customHeight="1">
      <x:c r="A103" s="20" t="str">
        <x:v>re7-eveline</x:v>
      </x:c>
      <x:c r="B103" s="20" t="str">
        <x:v>EVELINE — APPARENCE ENFANT</x:v>
      </x:c>
      <x:c r="C103" s="20" t="str">
        <x:v>projection</x:v>
      </x:c>
      <x:c r="D103" s="20" t="str">
        <x:v>F-re7-eveline-FIN</x:v>
      </x:c>
      <x:c r="E103" s="20" t="n">
        <x:v>0</x:v>
      </x:c>
      <x:c r="F103" s="20" t="n">
        <x:f>E103*4</x:f>
        <x:v>0</x:v>
      </x:c>
      <x:c r="G103" s="20" t="str">
        <x:v>Projection : aucune prise corporelle générique.</x:v>
      </x:c>
      <x:c r="H103" s="20" t="str">
        <x:v>SIMULATION / À VALIDER ARTISTIQUEMENT</x:v>
      </x:c>
    </x:row>
    <x:row r="104" ht="58" customHeight="1">
      <x:c r="A104" s="20" t="str">
        <x:v>re5-adjule</x:v>
      </x:c>
      <x:c r="B104" s="20" t="str">
        <x:v>ADJULE</x:v>
      </x:c>
      <x:c r="C104" s="20" t="str">
        <x:v>unreviewed</x:v>
      </x:c>
      <x:c r="D104" s="20" t="str">
        <x:v>F-re5-adjule-FIN</x:v>
      </x:c>
      <x:c r="E104" s="20" t="n">
        <x:v>0</x:v>
      </x:c>
      <x:c r="F104" s="20" t="n">
        <x:f>E104*4</x:f>
        <x:v>0</x:v>
      </x:c>
      <x:c r="G104" s="20" t="str">
        <x:v>Gabarit non qualifié pour cette chorégraphie.</x:v>
      </x:c>
      <x:c r="H104" s="20" t="str">
        <x:v>SIMULATION / À VALIDER ARTISTIQUEMENT</x:v>
      </x:c>
    </x:row>
    <x:row r="105" ht="58" customHeight="1">
      <x:c r="A105" s="20" t="str">
        <x:v>re5-big-man-majini</x:v>
      </x:c>
      <x:c r="B105" s="20" t="str">
        <x:v>BIG MAN MAJINI</x:v>
      </x:c>
      <x:c r="C105" s="20" t="str">
        <x:v>unreviewed</x:v>
      </x:c>
      <x:c r="D105" s="20" t="str">
        <x:v>F-re5-big-man-majini-FIN</x:v>
      </x:c>
      <x:c r="E105" s="20" t="n">
        <x:v>0</x:v>
      </x:c>
      <x:c r="F105" s="20" t="n">
        <x:f>E105*4</x:f>
        <x:v>0</x:v>
      </x:c>
      <x:c r="G105" s="20" t="str">
        <x:v>Gabarit non qualifié pour cette chorégraphie.</x:v>
      </x:c>
      <x:c r="H105" s="20" t="str">
        <x:v>SIMULATION / À VALIDER ARTISTIQUEMENT</x:v>
      </x:c>
    </x:row>
    <x:row r="106" ht="58" customHeight="1">
      <x:c r="A106" s="20" t="str">
        <x:v>re5-chainsaw-majini</x:v>
      </x:c>
      <x:c r="B106" s="20" t="str">
        <x:v>CHAINSAW MAJINI</x:v>
      </x:c>
      <x:c r="C106" s="20" t="str">
        <x:v>unreviewed</x:v>
      </x:c>
      <x:c r="D106" s="20" t="str">
        <x:v>F-re5-chainsaw-majini-FIN</x:v>
      </x:c>
      <x:c r="E106" s="20" t="n">
        <x:v>0</x:v>
      </x:c>
      <x:c r="F106" s="20" t="n">
        <x:f>E106*4</x:f>
        <x:v>0</x:v>
      </x:c>
      <x:c r="G106" s="20" t="str">
        <x:v>Gabarit non qualifié pour cette chorégraphie.</x:v>
      </x:c>
      <x:c r="H106" s="20" t="str">
        <x:v>SIMULATION / À VALIDER ARTISTIQUEMENT</x:v>
      </x:c>
    </x:row>
    <x:row r="107" ht="58" customHeight="1">
      <x:c r="A107" s="20" t="str">
        <x:v>re5-executioner</x:v>
      </x:c>
      <x:c r="B107" s="20" t="str">
        <x:v>EXECUTIONER MAJINI</x:v>
      </x:c>
      <x:c r="C107" s="20" t="str">
        <x:v>unreviewed</x:v>
      </x:c>
      <x:c r="D107" s="20" t="str">
        <x:v>F-re5-executioner-FIN</x:v>
      </x:c>
      <x:c r="E107" s="20" t="n">
        <x:v>0</x:v>
      </x:c>
      <x:c r="F107" s="20" t="n">
        <x:f>E107*4</x:f>
        <x:v>0</x:v>
      </x:c>
      <x:c r="G107" s="20" t="str">
        <x:v>Gabarit non qualifié pour cette chorégraphie.</x:v>
      </x:c>
      <x:c r="H107" s="20" t="str">
        <x:v>SIMULATION / À VALIDER ARTISTIQUEMENT</x:v>
      </x:c>
    </x:row>
    <x:row r="108" ht="58" customHeight="1">
      <x:c r="A108" s="20" t="str">
        <x:v>re5-gatling-gun-majini</x:v>
      </x:c>
      <x:c r="B108" s="20" t="str">
        <x:v>GATLING GUN MAJINI</x:v>
      </x:c>
      <x:c r="C108" s="20" t="str">
        <x:v>unreviewed</x:v>
      </x:c>
      <x:c r="D108" s="20" t="str">
        <x:v>F-re5-gatling-gun-majini-FIN</x:v>
      </x:c>
      <x:c r="E108" s="20" t="n">
        <x:v>0</x:v>
      </x:c>
      <x:c r="F108" s="20" t="n">
        <x:f>E108*4</x:f>
        <x:v>0</x:v>
      </x:c>
      <x:c r="G108" s="20" t="str">
        <x:v>Gabarit non qualifié pour cette chorégraphie.</x:v>
      </x:c>
      <x:c r="H108" s="20" t="str">
        <x:v>SIMULATION / À VALIDER ARTISTIQUEMENT</x:v>
      </x:c>
    </x:row>
    <x:row r="109" ht="58" customHeight="1">
      <x:c r="A109" s="20" t="str">
        <x:v>re5-jill-valentine-enemy</x:v>
      </x:c>
      <x:c r="B109" s="20" t="str">
        <x:v>JILL VALENTINE — SOUS P30</x:v>
      </x:c>
      <x:c r="C109" s="20" t="str">
        <x:v>unreviewed</x:v>
      </x:c>
      <x:c r="D109" s="20" t="str">
        <x:v>F-re5-jill-valentine-enemy-FIN</x:v>
      </x:c>
      <x:c r="E109" s="20" t="n">
        <x:v>0</x:v>
      </x:c>
      <x:c r="F109" s="20" t="n">
        <x:f>E109*4</x:f>
        <x:v>0</x:v>
      </x:c>
      <x:c r="G109" s="20" t="str">
        <x:v>Gabarit non qualifié pour cette chorégraphie.</x:v>
      </x:c>
      <x:c r="H109" s="20" t="str">
        <x:v>SIMULATION / À VALIDER ARTISTIQUEMENT</x:v>
      </x:c>
    </x:row>
    <x:row r="110" ht="58" customHeight="1">
      <x:c r="A110" s="20" t="str">
        <x:v>re5-licker-beta</x:v>
      </x:c>
      <x:c r="B110" s="20" t="str">
        <x:v>LICKER β</x:v>
      </x:c>
      <x:c r="C110" s="20" t="str">
        <x:v>unreviewed</x:v>
      </x:c>
      <x:c r="D110" s="20" t="str">
        <x:v>F-re5-licker-beta-FIN</x:v>
      </x:c>
      <x:c r="E110" s="20" t="n">
        <x:v>0</x:v>
      </x:c>
      <x:c r="F110" s="20" t="n">
        <x:f>E110*4</x:f>
        <x:v>0</x:v>
      </x:c>
      <x:c r="G110" s="20" t="str">
        <x:v>Gabarit non qualifié pour cette chorégraphie.</x:v>
      </x:c>
      <x:c r="H110" s="20" t="str">
        <x:v>SIMULATION / À VALIDER ARTISTIQUEMENT</x:v>
      </x:c>
    </x:row>
    <x:row r="111" ht="58" customHeight="1">
      <x:c r="A111" s="20" t="str">
        <x:v>re5-reaper</x:v>
      </x:c>
      <x:c r="B111" s="20" t="str">
        <x:v>REAPER</x:v>
      </x:c>
      <x:c r="C111" s="20" t="str">
        <x:v>unreviewed</x:v>
      </x:c>
      <x:c r="D111" s="20" t="str">
        <x:v>F-re5-reaper-FIN</x:v>
      </x:c>
      <x:c r="E111" s="20" t="n">
        <x:v>0</x:v>
      </x:c>
      <x:c r="F111" s="20" t="n">
        <x:f>E111*4</x:f>
        <x:v>0</x:v>
      </x:c>
      <x:c r="G111" s="20" t="str">
        <x:v>Gabarit non qualifié pour cette chorégraphie.</x:v>
      </x:c>
      <x:c r="H111" s="20" t="str">
        <x:v>SIMULATION / À VALIDER ARTISTIQUEMENT</x:v>
      </x:c>
    </x:row>
    <x:row r="112" ht="58" customHeight="1">
      <x:c r="A112" s="20" t="str">
        <x:v>re5-popokarimu</x:v>
      </x:c>
      <x:c r="B112" s="20" t="str">
        <x:v>POPOKARIMU</x:v>
      </x:c>
      <x:c r="C112" s="20" t="str">
        <x:v>unreviewed</x:v>
      </x:c>
      <x:c r="D112" s="20" t="str">
        <x:v>F-re5-popokarimu-FIN</x:v>
      </x:c>
      <x:c r="E112" s="20" t="n">
        <x:v>0</x:v>
      </x:c>
      <x:c r="F112" s="20" t="n">
        <x:f>E112*4</x:f>
        <x:v>0</x:v>
      </x:c>
      <x:c r="G112" s="20" t="str">
        <x:v>Gabarit non qualifié pour cette chorégraphie.</x:v>
      </x:c>
      <x:c r="H112" s="20" t="str">
        <x:v>SIMULATION / À VALIDER ARTISTIQUEMENT</x:v>
      </x:c>
    </x:row>
    <x:row r="113" ht="58" customHeight="1">
      <x:c r="A113" s="20" t="str">
        <x:v>re5-ndesu</x:v>
      </x:c>
      <x:c r="B113" s="20" t="str">
        <x:v>NDESU</x:v>
      </x:c>
      <x:c r="C113" s="20" t="str">
        <x:v>unreviewed</x:v>
      </x:c>
      <x:c r="D113" s="20" t="str">
        <x:v>F-re5-ndesu-FIN</x:v>
      </x:c>
      <x:c r="E113" s="20" t="n">
        <x:v>0</x:v>
      </x:c>
      <x:c r="F113" s="20" t="n">
        <x:f>E113*4</x:f>
        <x:v>0</x:v>
      </x:c>
      <x:c r="G113" s="20" t="str">
        <x:v>Gabarit non qualifié pour cette chorégraphie.</x:v>
      </x:c>
      <x:c r="H113" s="20" t="str">
        <x:v>SIMULATION / À VALIDER ARTISTIQUEMENT</x:v>
      </x:c>
    </x:row>
    <x:row r="114" ht="58" customHeight="1">
      <x:c r="A114" s="20" t="str">
        <x:v>re5-irving</x:v>
      </x:c>
      <x:c r="B114" s="20" t="str">
        <x:v>RICARDO IRVING — MUTATION</x:v>
      </x:c>
      <x:c r="C114" s="20" t="str">
        <x:v>unreviewed</x:v>
      </x:c>
      <x:c r="D114" s="20" t="str">
        <x:v>F-re5-irving-FIN</x:v>
      </x:c>
      <x:c r="E114" s="20" t="n">
        <x:v>0</x:v>
      </x:c>
      <x:c r="F114" s="20" t="n">
        <x:f>E114*4</x:f>
        <x:v>0</x:v>
      </x:c>
      <x:c r="G114" s="20" t="str">
        <x:v>Gabarit non qualifié pour cette chorégraphie.</x:v>
      </x:c>
      <x:c r="H114" s="20" t="str">
        <x:v>SIMULATION / À VALIDER ARTISTIQUEMENT</x:v>
      </x:c>
    </x:row>
    <x:row r="115" ht="58" customHeight="1">
      <x:c r="A115" s="20" t="str">
        <x:v>re5-u-8</x:v>
      </x:c>
      <x:c r="B115" s="20" t="str">
        <x:v>U-8</x:v>
      </x:c>
      <x:c r="C115" s="20" t="str">
        <x:v>unreviewed</x:v>
      </x:c>
      <x:c r="D115" s="20" t="str">
        <x:v>F-re5-u-8-FIN</x:v>
      </x:c>
      <x:c r="E115" s="20" t="n">
        <x:v>0</x:v>
      </x:c>
      <x:c r="F115" s="20" t="n">
        <x:f>E115*4</x:f>
        <x:v>0</x:v>
      </x:c>
      <x:c r="G115" s="20" t="str">
        <x:v>Gabarit non qualifié pour cette chorégraphie.</x:v>
      </x:c>
      <x:c r="H115" s="20" t="str">
        <x:v>SIMULATION / À VALIDER ARTISTIQUEMENT</x:v>
      </x:c>
    </x:row>
    <x:row r="116" ht="58" customHeight="1">
      <x:c r="A116" s="20" t="str">
        <x:v>re5-uroboros</x:v>
      </x:c>
      <x:c r="B116" s="20" t="str">
        <x:v>UROBOROS — PREMIER SUJET</x:v>
      </x:c>
      <x:c r="C116" s="20" t="str">
        <x:v>unreviewed</x:v>
      </x:c>
      <x:c r="D116" s="20" t="str">
        <x:v>F-re5-uroboros-FIN</x:v>
      </x:c>
      <x:c r="E116" s="20" t="n">
        <x:v>0</x:v>
      </x:c>
      <x:c r="F116" s="20" t="n">
        <x:f>E116*4</x:f>
        <x:v>0</x:v>
      </x:c>
      <x:c r="G116" s="20" t="str">
        <x:v>Gabarit non qualifié pour cette chorégraphie.</x:v>
      </x:c>
      <x:c r="H116" s="20" t="str">
        <x:v>SIMULATION / À VALIDER ARTISTIQUEMENT</x:v>
      </x:c>
    </x:row>
    <x:row r="117" ht="58" customHeight="1">
      <x:c r="A117" s="20" t="str">
        <x:v>re5-uroboros-mkono</x:v>
      </x:c>
      <x:c r="B117" s="20" t="str">
        <x:v>UROBOROS MKONO</x:v>
      </x:c>
      <x:c r="C117" s="20" t="str">
        <x:v>unreviewed</x:v>
      </x:c>
      <x:c r="D117" s="20" t="str">
        <x:v>F-re5-uroboros-mkono-FIN</x:v>
      </x:c>
      <x:c r="E117" s="20" t="n">
        <x:v>0</x:v>
      </x:c>
      <x:c r="F117" s="20" t="n">
        <x:f>E117*4</x:f>
        <x:v>0</x:v>
      </x:c>
      <x:c r="G117" s="20" t="str">
        <x:v>Gabarit non qualifié pour cette chorégraphie.</x:v>
      </x:c>
      <x:c r="H117" s="20" t="str">
        <x:v>SIMULATION / À VALIDER ARTISTIQUEMENT</x:v>
      </x:c>
    </x:row>
    <x:row r="118" ht="58" customHeight="1">
      <x:c r="A118" s="20" t="str">
        <x:v>re5-uroboros-aheri</x:v>
      </x:c>
      <x:c r="B118" s="20" t="str">
        <x:v>UROBOROS AHERI</x:v>
      </x:c>
      <x:c r="C118" s="20" t="str">
        <x:v>unreviewed</x:v>
      </x:c>
      <x:c r="D118" s="20" t="str">
        <x:v>F-re5-uroboros-aheri-FIN</x:v>
      </x:c>
      <x:c r="E118" s="20" t="n">
        <x:v>0</x:v>
      </x:c>
      <x:c r="F118" s="20" t="n">
        <x:f>E118*4</x:f>
        <x:v>0</x:v>
      </x:c>
      <x:c r="G118" s="20" t="str">
        <x:v>Gabarit non qualifié pour cette chorégraphie.</x:v>
      </x:c>
      <x:c r="H118" s="20" t="str">
        <x:v>SIMULATION / À VALIDER ARTISTIQUEMENT</x:v>
      </x:c>
    </x:row>
    <x:row r="119" ht="58" customHeight="1">
      <x:c r="A119" s="20" t="str">
        <x:v>re5-uroboros-albert-wesker</x:v>
      </x:c>
      <x:c r="B119" s="20" t="str">
        <x:v>ALBERT WESKER — UROBOROS</x:v>
      </x:c>
      <x:c r="C119" s="20" t="str">
        <x:v>unreviewed</x:v>
      </x:c>
      <x:c r="D119" s="20" t="str">
        <x:v>F-re5-uroboros-albert-wesker-FIN</x:v>
      </x:c>
      <x:c r="E119" s="20" t="n">
        <x:v>0</x:v>
      </x:c>
      <x:c r="F119" s="20" t="n">
        <x:f>E119*4</x:f>
        <x:v>0</x:v>
      </x:c>
      <x:c r="G119" s="20" t="str">
        <x:v>Gabarit non qualifié pour cette chorégraphie.</x:v>
      </x:c>
      <x:c r="H119" s="20" t="str">
        <x:v>SIMULATION / À VALIDER ARTISTIQUEMENT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6a1c38c1c394c2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61" hidden="0" customWidth="1"/>
    <x:col min="4" max="4" width="28" hidden="0" customWidth="1"/>
    <x:col min="5" max="5" width="31" hidden="0" customWidth="1"/>
    <x:col min="6" max="6" width="48" hidden="0" customWidth="1"/>
  </x:cols>
  <x:sheetData>
    <x:row r="1" ht="38" customHeight="1">
      <x:c r="A1" s="3" t="str">
        <x:v>R10 • références et portée</x:v>
      </x:c>
      <x:c r="B1" s="3"/>
      <x:c r="C1" s="3"/>
      <x:c r="D1" s="3"/>
      <x:c r="E1" s="3"/>
      <x:c r="F1" s="3"/>
    </x:row>
    <x:row r="2" ht="44" customHeight="1">
      <x:c r="A2" s="8" t="str">
        <x:v>Les références externes ne sont pas transformées en preuve de fidélité de l’ensemble du roster.</x:v>
      </x:c>
      <x:c r="B2" s="8"/>
      <x:c r="C2" s="8"/>
      <x:c r="D2" s="8"/>
      <x:c r="E2" s="8"/>
      <x:c r="F2" s="8"/>
    </x:row>
    <x:row r="4" ht="28" customHeight="1">
      <x:c r="A4" s="14" t="str">
        <x:v>ID</x:v>
      </x:c>
      <x:c r="B4" s="14" t="str">
        <x:v>Type</x:v>
      </x:c>
      <x:c r="C4" s="14" t="str">
        <x:v>Chemin ou URL</x:v>
      </x:c>
      <x:c r="D4" s="14" t="str">
        <x:v>Usage</x:v>
      </x:c>
      <x:c r="E4" s="14" t="str">
        <x:v>Consultation</x:v>
      </x:c>
      <x:c r="F4" s="14" t="str">
        <x:v>Limite</x:v>
      </x:c>
    </x:row>
    <x:row r="5" ht="58" customHeight="1">
      <x:c r="A5" s="20" t="str">
        <x:v>SRC-01</x:v>
      </x:c>
      <x:c r="B5" s="20" t="str">
        <x:v>Données du projet</x:v>
      </x:c>
      <x:c r="C5" s="20" t="str">
        <x:v>data/roster.json</x:v>
      </x:c>
      <x:c r="D5" s="20" t="str">
        <x:v>Métadonnées de gabarit</x:v>
      </x:c>
      <x:c r="E5" s="20" t="str">
        <x:v>Source locale R9, inchangée</x:v>
      </x:c>
      <x:c r="F5" s="20" t="str">
        <x:v>Ne prouve ni proportions réelles ni animation finale.</x:v>
      </x:c>
    </x:row>
    <x:row r="6" ht="58" customHeight="1">
      <x:c r="A6" s="20" t="str">
        <x:v>SRC-02</x:v>
      </x:c>
      <x:c r="B6" s="20" t="str">
        <x:v>Données du projet</x:v>
      </x:c>
      <x:c r="C6" s="20" t="str">
        <x:v>data/finishers-v053.json</x:v>
      </x:c>
      <x:c r="D6" s="20" t="str">
        <x:v>Phases et 460 définitions existantes</x:v>
      </x:c>
      <x:c r="E6" s="20" t="str">
        <x:v>Source locale R9, inchangée</x:v>
      </x:c>
      <x:c r="F6" s="20" t="str">
        <x:v>victimRule:any historique est supplanté au lancement par le filtre R10.</x:v>
      </x:c>
    </x:row>
    <x:row r="7" ht="58" customHeight="1">
      <x:c r="A7" s="20" t="str">
        <x:v>SRC-03</x:v>
      </x:c>
      <x:c r="B7" s="20" t="str">
        <x:v>PR vérifiée</x:v>
      </x:c>
      <x:c r="C7" s="20" t="str">
        <x:v>https://github.com/darknigthmare/resident-evil-bow-protocol/pull/11</x:v>
      </x:c>
      <x:c r="D7" s="20" t="str">
        <x:v>Base et périmètre</x:v>
      </x:c>
      <x:c r="E7" s="20" t="str">
        <x:v>R9 / 58b311b73a7890fe55a073515e5a2cbf2009a6b8</x:v>
      </x:c>
      <x:c r="F7" s="20" t="str">
        <x:v>PR toujours en brouillon ; non modifiée par cette livraison.</x:v>
      </x:c>
    </x:row>
    <x:row r="8" ht="58" customHeight="1">
      <x:c r="A8" s="20" t="str">
        <x:v>SRC-04</x:v>
      </x:c>
      <x:c r="B8" s="20" t="str">
        <x:v>MDN</x:v>
      </x:c>
      <x:c r="C8" s="20" t="str">
        <x:v>https://developer.mozilla.org/en-US/docs/Web/API/Page_Visibility_API</x:v>
      </x:c>
      <x:c r="D8" s="20" t="str">
        <x:v>Horloges et onglets masqués</x:v>
      </x:c>
      <x:c r="E8" s="20" t="str">
        <x:v>Consulté le 19/10/2026</x:v>
      </x:c>
      <x:c r="F8" s="20" t="str">
        <x:v>Pause et temps du moteur distincts de la présentation.</x:v>
      </x:c>
    </x:row>
    <x:row r="9" ht="58" customHeight="1">
      <x:c r="A9" s="20" t="str">
        <x:v>SRC-05</x:v>
      </x:c>
      <x:c r="B9" s="20" t="str">
        <x:v>Capcom / PlayStation Blog</x:v>
      </x:c>
      <x:c r="C9" s="20" t="str">
        <x:v>https://blog.playstation.com/archive/2020/05/15/making-a-monster-how-nemesis-was-brought-to-terrifying-life-in-resident-evil-3/</x:v>
      </x:c>
      <x:c r="D9" s="20" t="str">
        <x:v>Séparation remake / Resistance</x:v>
      </x:c>
      <x:c r="E9" s="20" t="str">
        <x:v>Consulté le 19/10/2026</x:v>
      </x:c>
      <x:c r="F9" s="20" t="str">
        <x:v>Référence de périmètre, pas validation des 115 gabarits.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a0ab1ae1b0241a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75" hidden="0" customWidth="1"/>
    <x:col min="3" max="3" width="17" hidden="0" customWidth="1"/>
    <x:col min="4" max="4" width="37" hidden="0" customWidth="1"/>
    <x:col min="5" max="5" width="54" hidden="0" customWidth="1"/>
  </x:cols>
  <x:sheetData>
    <x:row r="1" ht="38" customHeight="1">
      <x:c r="A1" s="3" t="str">
        <x:v>R10 • résultats effectivement exécutés</x:v>
      </x:c>
      <x:c r="B1" s="3"/>
      <x:c r="C1" s="3"/>
      <x:c r="D1" s="3"/>
      <x:c r="E1" s="3"/>
    </x:row>
    <x:row r="2" ht="44" customHeight="1">
      <x:c r="A2" s="8" t="str">
        <x:v>366 groupes exécutables locaux réussis, par lots : 350 hérités + 16 R10. Le tableau détaille les 40 contrôles spécifiques R10 (16 Node + 24 Chromium hors ligne). Pas de CI distante, HTTP ni appareil physique certifiés.</x:v>
      </x:c>
      <x:c r="B2" s="8"/>
      <x:c r="C2" s="8"/>
      <x:c r="D2" s="8"/>
      <x:c r="E2" s="8"/>
    </x:row>
    <x:row r="4" ht="28" customHeight="1">
      <x:c r="A4" s="14" t="str">
        <x:v>ID</x:v>
      </x:c>
      <x:c r="B4" s="14" t="str">
        <x:v>Test</x:v>
      </x:c>
      <x:c r="C4" s="14" t="str">
        <x:v>Résultat</x:v>
      </x:c>
      <x:c r="D4" s="14" t="str">
        <x:v>Environnement</x:v>
      </x:c>
      <x:c r="E4" s="14" t="str">
        <x:v>Preuve</x:v>
      </x:c>
    </x:row>
    <x:row r="5" ht="58" customHeight="1">
      <x:c r="A5" s="20" t="str">
        <x:v>PURE-01</x:v>
      </x:c>
      <x:c r="B5" s="20" t="str">
        <x:v>An intro starts and ends without storing combat state or commands</x:v>
      </x:c>
      <x:c r="C5" s="20" t="str">
        <x:v>RÉUSSI</x:v>
      </x:c>
      <x:c r="D5" s="20" t="str">
        <x:v>Node VM / code réel</x:v>
      </x:c>
      <x:c r="E5" s="20" t="str">
        <x:v>docs/DELIVERY_R10_TESTS.json</x:v>
      </x:c>
    </x:row>
    <x:row r="6" ht="58" customHeight="1">
      <x:c r="A6" s="20" t="str">
        <x:v>PURE-02</x:v>
      </x:c>
      <x:c r="B6" s="20" t="str">
        <x:v>Pause freezes the clock and step advances exactly one integer tick</x:v>
      </x:c>
      <x:c r="C6" s="20" t="str">
        <x:v>RÉUSSI</x:v>
      </x:c>
      <x:c r="D6" s="20" t="str">
        <x:v>Node VM / code réel</x:v>
      </x:c>
      <x:c r="E6" s="20" t="str">
        <x:v>docs/DELIVERY_R10_TESTS.json</x:v>
      </x:c>
    </x:row>
    <x:row r="7" ht="58" customHeight="1">
      <x:c r="A7" s="20" t="str">
        <x:v>PURE-03</x:v>
      </x:c>
      <x:c r="B7" s="20" t="str">
        <x:v>Intro speed is scaled after delta clamping, independent of monitor frequency</x:v>
      </x:c>
      <x:c r="C7" s="20" t="str">
        <x:v>RÉUSSI</x:v>
      </x:c>
      <x:c r="D7" s="20" t="str">
        <x:v>Node VM / code réel</x:v>
      </x:c>
      <x:c r="E7" s="20" t="str">
        <x:v>docs/DELIVERY_R10_TESTS.json</x:v>
      </x:c>
    </x:row>
    <x:row r="8" ht="58" customHeight="1">
      <x:c r="A8" s="20" t="str">
        <x:v>PURE-04</x:v>
      </x:c>
      <x:c r="B8" s="20" t="str">
        <x:v>Invalid clock inputs never advance and excessive time is bounded</x:v>
      </x:c>
      <x:c r="C8" s="20" t="str">
        <x:v>RÉUSSI</x:v>
      </x:c>
      <x:c r="D8" s="20" t="str">
        <x:v>Node VM / code réel</x:v>
      </x:c>
      <x:c r="E8" s="20" t="str">
        <x:v>docs/DELIVERY_R10_TESTS.json</x:v>
      </x:c>
    </x:row>
    <x:row r="9" ht="58" customHeight="1">
      <x:c r="A9" s="20" t="str">
        <x:v>PURE-05</x:v>
      </x:c>
      <x:c r="B9" s="20" t="str">
        <x:v>Skipping is idempotent and a restart resets every presentation field</x:v>
      </x:c>
      <x:c r="C9" s="20" t="str">
        <x:v>RÉUSSI</x:v>
      </x:c>
      <x:c r="D9" s="20" t="str">
        <x:v>Node VM / code réel</x:v>
      </x:c>
      <x:c r="E9" s="20" t="str">
        <x:v>docs/DELIVERY_R10_TESTS.json</x:v>
      </x:c>
    </x:row>
    <x:row r="10" ht="58" customHeight="1">
      <x:c r="A10" s="20" t="str">
        <x:v>PURE-06</x:v>
      </x:c>
      <x:c r="B10" s="20" t="str">
        <x:v>All 346 subjects use the correct intro UID without advancing the true engine</x:v>
      </x:c>
      <x:c r="C10" s="20" t="str">
        <x:v>RÉUSSI</x:v>
      </x:c>
      <x:c r="D10" s="20" t="str">
        <x:v>Node VM / code réel</x:v>
      </x:c>
      <x:c r="E10" s="20" t="str">
        <x:v>docs/DELIVERY_R10_TESTS.json</x:v>
      </x:c>
    </x:row>
    <x:row r="11" ht="58" customHeight="1">
      <x:c r="A11" s="20" t="str">
        <x:v>PURE-07</x:v>
      </x:c>
      <x:c r="B11" s="20" t="str">
        <x:v>Reduced motion freezes the artwork tick, not the deterministic intro duration</x:v>
      </x:c>
      <x:c r="C11" s="20" t="str">
        <x:v>RÉUSSI</x:v>
      </x:c>
      <x:c r="D11" s="20" t="str">
        <x:v>Node VM / code réel</x:v>
      </x:c>
      <x:c r="E11" s="20" t="str">
        <x:v>docs/DELIVERY_R10_TESTS.json</x:v>
      </x:c>
    </x:row>
    <x:row r="12" ht="58" customHeight="1">
      <x:c r="A12" s="20" t="str">
        <x:v>PURE-08</x:v>
      </x:c>
      <x:c r="B12" s="20" t="str">
        <x:v>All existing finisher IDs have a defined noncanonical compatibility verdict</x:v>
      </x:c>
      <x:c r="C12" s="20" t="str">
        <x:v>RÉUSSI</x:v>
      </x:c>
      <x:c r="D12" s="20" t="str">
        <x:v>Node VM / code réel</x:v>
      </x:c>
      <x:c r="E12" s="20" t="str">
        <x:v>docs/DELIVERY_R10_TESTS.json</x:v>
      </x:c>
    </x:row>
    <x:row r="13" ht="58" customHeight="1">
      <x:c r="A13" s="20" t="str">
        <x:v>PURE-09</x:v>
      </x:c>
      <x:c r="B13" s="20" t="str">
        <x:v>Humanlike compatible shapes retain the inherited prototype conclusion</x:v>
      </x:c>
      <x:c r="C13" s="20" t="str">
        <x:v>RÉUSSI</x:v>
      </x:c>
      <x:c r="D13" s="20" t="str">
        <x:v>Node VM / code réel</x:v>
      </x:c>
      <x:c r="E13" s="20" t="str">
        <x:v>docs/DELIVERY_R10_TESTS.json</x:v>
      </x:c>
    </x:row>
    <x:row r="14" ht="58" customHeight="1">
      <x:c r="A14" s="20" t="str">
        <x:v>PURE-10</x:v>
      </x:c>
      <x:c r="B14" s="20" t="str">
        <x:v>Every conclusion rejects a projection as a victim</x:v>
      </x:c>
      <x:c r="C14" s="20" t="str">
        <x:v>RÉUSSI</x:v>
      </x:c>
      <x:c r="D14" s="20" t="str">
        <x:v>Node VM / code réel</x:v>
      </x:c>
      <x:c r="E14" s="20" t="str">
        <x:v>docs/DELIVERY_R10_TESTS.json</x:v>
      </x:c>
    </x:row>
    <x:row r="15" ht="58" customHeight="1">
      <x:c r="A15" s="20" t="str">
        <x:v>PURE-11</x:v>
      </x:c>
      <x:c r="B15" s="20" t="str">
        <x:v>Aquatic, collective, plant, giant, winged and mechanical victims cannot use the generic fall</x:v>
      </x:c>
      <x:c r="C15" s="20" t="str">
        <x:v>RÉUSSI</x:v>
      </x:c>
      <x:c r="D15" s="20" t="str">
        <x:v>Node VM / code réel</x:v>
      </x:c>
      <x:c r="E15" s="20" t="str">
        <x:v>docs/DELIVERY_R10_TESTS.json</x:v>
      </x:c>
    </x:row>
    <x:row r="16" ht="58" customHeight="1">
      <x:c r="A16" s="20" t="str">
        <x:v>PURE-12</x:v>
      </x:c>
      <x:c r="B16" s="20" t="str">
        <x:v>Unknown/reference gabarits fail closed instead of inheriting a human body</x:v>
      </x:c>
      <x:c r="C16" s="20" t="str">
        <x:v>RÉUSSI</x:v>
      </x:c>
      <x:c r="D16" s="20" t="str">
        <x:v>Node VM / code réel</x:v>
      </x:c>
      <x:c r="E16" s="20" t="str">
        <x:v>docs/DELIVERY_R10_TESTS.json</x:v>
      </x:c>
    </x:row>
    <x:row r="17" ht="58" customHeight="1">
      <x:c r="A17" s="20" t="str">
        <x:v>PURE-13</x:v>
      </x:c>
      <x:c r="B17" s="20" t="str">
        <x:v>Cross-incarnation finisher IDs cannot select another fighter repertoire</x:v>
      </x:c>
      <x:c r="C17" s="20" t="str">
        <x:v>RÉUSSI</x:v>
      </x:c>
      <x:c r="D17" s="20" t="str">
        <x:v>Node VM / code réel</x:v>
      </x:c>
      <x:c r="E17" s="20" t="str">
        <x:v>docs/DELIVERY_R10_TESTS.json</x:v>
      </x:c>
    </x:row>
    <x:row r="18" ht="58" customHeight="1">
      <x:c r="A18" s="20" t="str">
        <x:v>PURE-14</x:v>
      </x:c>
      <x:c r="B18" s="20" t="str">
        <x:v>A low body cannot enter the standing grapple sequence and size envelopes are respected</x:v>
      </x:c>
      <x:c r="C18" s="20" t="str">
        <x:v>RÉUSSI</x:v>
      </x:c>
      <x:c r="D18" s="20" t="str">
        <x:v>Node VM / code réel</x:v>
      </x:c>
      <x:c r="E18" s="20" t="str">
        <x:v>docs/DELIVERY_R10_TESTS.json</x:v>
      </x:c>
    </x:row>
    <x:row r="19" ht="58" customHeight="1">
      <x:c r="A19" s="20" t="str">
        <x:v>PURE-15</x:v>
      </x:c>
      <x:c r="B19" s="20" t="str">
        <x:v>Policy evaluation never mutates profiles, life, resources or finishing history</x:v>
      </x:c>
      <x:c r="C19" s="20" t="str">
        <x:v>RÉUSSI</x:v>
      </x:c>
      <x:c r="D19" s="20" t="str">
        <x:v>Node VM / code réel</x:v>
      </x:c>
      <x:c r="E19" s="20" t="str">
        <x:v>docs/DELIVERY_R10_TESTS.json</x:v>
      </x:c>
    </x:row>
    <x:row r="20" ht="58" customHeight="1">
      <x:c r="A20" s="20" t="str">
        <x:v>PURE-16</x:v>
      </x:c>
      <x:c r="B20" s="20" t="str">
        <x:v>Gameplay, art and isolated replay contracts remain byte-identical to R9</x:v>
      </x:c>
      <x:c r="C20" s="20" t="str">
        <x:v>RÉUSSI</x:v>
      </x:c>
      <x:c r="D20" s="20" t="str">
        <x:v>Node VM / code réel</x:v>
      </x:c>
      <x:c r="E20" s="20" t="str">
        <x:v>docs/DELIVERY_R10_TESTS.json</x:v>
      </x:c>
    </x:row>
    <x:row r="21" ht="58" customHeight="1">
      <x:c r="A21" s="20" t="str">
        <x:v>BROW-01</x:v>
      </x:c>
      <x:c r="B21" s="20" t="str">
        <x:v>Intro, pause, step, skip and native keyboard / 1440</x:v>
      </x:c>
      <x:c r="C21" s="20" t="str">
        <x:v>RÉUSSI</x:v>
      </x:c>
      <x:c r="D21" s="20" t="str">
        <x:v>Chromium hors ligne ; ressources locales</x:v>
      </x:c>
      <x:c r="E21" s="20" t="str">
        <x:v>qa-delivery-r10/BROWSER_R10_RESULTS.json</x:v>
      </x:c>
    </x:row>
    <x:row r="22" ht="58" customHeight="1">
      <x:c r="A22" s="20" t="str">
        <x:v>BROW-02</x:v>
      </x:c>
      <x:c r="B22" s="20" t="str">
        <x:v>Intro commands never leak into fight / 1440</x:v>
      </x:c>
      <x:c r="C22" s="20" t="str">
        <x:v>RÉUSSI</x:v>
      </x:c>
      <x:c r="D22" s="20" t="str">
        <x:v>Chromium hors ligne ; ressources locales</x:v>
      </x:c>
      <x:c r="E22" s="20" t="str">
        <x:v>qa-delivery-r10/BROWSER_R10_RESULTS.json</x:v>
      </x:c>
    </x:row>
    <x:row r="23" ht="58" customHeight="1">
      <x:c r="A23" s="20" t="str">
        <x:v>BROW-03</x:v>
      </x:c>
      <x:c r="B23" s="20" t="str">
        <x:v>Pad held across intro needs release before movement / 1440</x:v>
      </x:c>
      <x:c r="C23" s="20" t="str">
        <x:v>RÉUSSI</x:v>
      </x:c>
      <x:c r="D23" s="20" t="str">
        <x:v>Chromium hors ligne ; ressources locales</x:v>
      </x:c>
      <x:c r="E23" s="20" t="str">
        <x:v>qa-delivery-r10/BROWSER_R10_RESULTS.json</x:v>
      </x:c>
    </x:row>
    <x:row r="24" ht="58" customHeight="1">
      <x:c r="A24" s="20" t="str">
        <x:v>BROW-04</x:v>
      </x:c>
      <x:c r="B24" s="20" t="str">
        <x:v>Complete CPU duel equals its no-intro baseline / 1440</x:v>
      </x:c>
      <x:c r="C24" s="20" t="str">
        <x:v>RÉUSSI</x:v>
      </x:c>
      <x:c r="D24" s="20" t="str">
        <x:v>Chromium hors ligne ; ressources locales</x:v>
      </x:c>
      <x:c r="E24" s="20" t="str">
        <x:v>qa-delivery-r10/BROWSER_R10_RESULTS.json</x:v>
      </x:c>
    </x:row>
    <x:row r="25" ht="58" customHeight="1">
      <x:c r="A25" s="20" t="str">
        <x:v>BROW-05</x:v>
      </x:c>
      <x:c r="B25" s="20" t="str">
        <x:v>R9 outro is preserved and combat stays frozen / 1440</x:v>
      </x:c>
      <x:c r="C25" s="20" t="str">
        <x:v>RÉUSSI</x:v>
      </x:c>
      <x:c r="D25" s="20" t="str">
        <x:v>Chromium hors ligne ; ressources locales</x:v>
      </x:c>
      <x:c r="E25" s="20" t="str">
        <x:v>qa-delivery-r10/BROWSER_R10_RESULTS.json</x:v>
      </x:c>
    </x:row>
    <x:row r="26" ht="58" customHeight="1">
      <x:c r="A26" s="20" t="str">
        <x:v>BROW-06</x:v>
      </x:c>
      <x:c r="B26" s="20" t="str">
        <x:v>Invalid import preserves intro; valid replay cancels it / 1440</x:v>
      </x:c>
      <x:c r="C26" s="20" t="str">
        <x:v>RÉUSSI</x:v>
      </x:c>
      <x:c r="D26" s="20" t="str">
        <x:v>Chromium hors ligne ; ressources locales</x:v>
      </x:c>
      <x:c r="E26" s="20" t="str">
        <x:v>qa-delivery-r10/BROWSER_R10_RESULTS.json</x:v>
      </x:c>
    </x:row>
    <x:row r="27" ht="58" customHeight="1">
      <x:c r="A27" s="20" t="str">
        <x:v>BROW-07</x:v>
      </x:c>
      <x:c r="B27" s="20" t="str">
        <x:v>Duel layout and actual script errors / 1440</x:v>
      </x:c>
      <x:c r="C27" s="20" t="str">
        <x:v>RÉUSSI</x:v>
      </x:c>
      <x:c r="D27" s="20" t="str">
        <x:v>Chromium hors ligne ; ressources locales</x:v>
      </x:c>
      <x:c r="E27" s="20" t="str">
        <x:v>qa-delivery-r10/BROWSER_R10_RESULTS.json</x:v>
      </x:c>
    </x:row>
    <x:row r="28" ht="58" customHeight="1">
      <x:c r="A28" s="20" t="str">
        <x:v>BROW-08</x:v>
      </x:c>
      <x:c r="B28" s="20" t="str">
        <x:v>Qualified pair keeps conclusion and credit / 1440</x:v>
      </x:c>
      <x:c r="C28" s="20" t="str">
        <x:v>RÉUSSI</x:v>
      </x:c>
      <x:c r="D28" s="20" t="str">
        <x:v>Chromium hors ligne ; ressources locales</x:v>
      </x:c>
      <x:c r="E28" s="20" t="str">
        <x:v>qa-delivery-r10/BROWSER_R10_RESULTS.json</x:v>
      </x:c>
    </x:row>
    <x:row r="29" ht="58" customHeight="1">
      <x:c r="A29" s="20" t="str">
        <x:v>BROW-09</x:v>
      </x:c>
      <x:c r="B29" s="20" t="str">
        <x:v>Unsupported victims cannot create a scene or credit / 1440</x:v>
      </x:c>
      <x:c r="C29" s="20" t="str">
        <x:v>RÉUSSI</x:v>
      </x:c>
      <x:c r="D29" s="20" t="str">
        <x:v>Chromium hors ligne ; ressources locales</x:v>
      </x:c>
      <x:c r="E29" s="20" t="str">
        <x:v>qa-delivery-r10/BROWSER_R10_RESULTS.json</x:v>
      </x:c>
    </x:row>
    <x:row r="30" ht="58" customHeight="1">
      <x:c r="A30" s="20" t="str">
        <x:v>BROW-10</x:v>
      </x:c>
      <x:c r="B30" s="20" t="str">
        <x:v>Natural incompatible duel ends normally without a stuck finisher window / 1440</x:v>
      </x:c>
      <x:c r="C30" s="20" t="str">
        <x:v>RÉUSSI</x:v>
      </x:c>
      <x:c r="D30" s="20" t="str">
        <x:v>Chromium hors ligne ; ressources locales</x:v>
      </x:c>
      <x:c r="E30" s="20" t="str">
        <x:v>qa-delivery-r10/BROWSER_R10_RESULTS.json</x:v>
      </x:c>
    </x:row>
    <x:row r="31" ht="58" customHeight="1">
      <x:c r="A31" s="20" t="str">
        <x:v>BROW-11</x:v>
      </x:c>
      <x:c r="B31" s="20" t="str">
        <x:v>First-round protection survives compatibility filtering / 1440</x:v>
      </x:c>
      <x:c r="C31" s="20" t="str">
        <x:v>RÉUSSI</x:v>
      </x:c>
      <x:c r="D31" s="20" t="str">
        <x:v>Chromium hors ligne ; ressources locales</x:v>
      </x:c>
      <x:c r="E31" s="20" t="str">
        <x:v>qa-delivery-r10/BROWSER_R10_RESULTS.json</x:v>
      </x:c>
    </x:row>
    <x:row r="32" ht="58" customHeight="1">
      <x:c r="A32" s="20" t="str">
        <x:v>BROW-12</x:v>
      </x:c>
      <x:c r="B32" s="20" t="str">
        <x:v>Archive victim filter and narrow layout / 1440</x:v>
      </x:c>
      <x:c r="C32" s="20" t="str">
        <x:v>RÉUSSI</x:v>
      </x:c>
      <x:c r="D32" s="20" t="str">
        <x:v>Chromium hors ligne ; ressources locales</x:v>
      </x:c>
      <x:c r="E32" s="20" t="str">
        <x:v>qa-delivery-r10/BROWSER_R10_RESULTS.json</x:v>
      </x:c>
    </x:row>
    <x:row r="33" ht="58" customHeight="1">
      <x:c r="A33" s="20" t="str">
        <x:v>BROW-13</x:v>
      </x:c>
      <x:c r="B33" s="20" t="str">
        <x:v>Intro, pause, step, skip and native keyboard / 390</x:v>
      </x:c>
      <x:c r="C33" s="20" t="str">
        <x:v>RÉUSSI</x:v>
      </x:c>
      <x:c r="D33" s="20" t="str">
        <x:v>Chromium hors ligne ; ressources locales</x:v>
      </x:c>
      <x:c r="E33" s="20" t="str">
        <x:v>qa-delivery-r10/BROWSER_R10_RESULTS.json</x:v>
      </x:c>
    </x:row>
    <x:row r="34" ht="58" customHeight="1">
      <x:c r="A34" s="20" t="str">
        <x:v>BROW-14</x:v>
      </x:c>
      <x:c r="B34" s="20" t="str">
        <x:v>Intro commands never leak into fight / 390</x:v>
      </x:c>
      <x:c r="C34" s="20" t="str">
        <x:v>RÉUSSI</x:v>
      </x:c>
      <x:c r="D34" s="20" t="str">
        <x:v>Chromium hors ligne ; ressources locales</x:v>
      </x:c>
      <x:c r="E34" s="20" t="str">
        <x:v>qa-delivery-r10/BROWSER_R10_RESULTS.json</x:v>
      </x:c>
    </x:row>
    <x:row r="35" ht="58" customHeight="1">
      <x:c r="A35" s="20" t="str">
        <x:v>BROW-15</x:v>
      </x:c>
      <x:c r="B35" s="20" t="str">
        <x:v>Pad held across intro needs release before movement / 390</x:v>
      </x:c>
      <x:c r="C35" s="20" t="str">
        <x:v>RÉUSSI</x:v>
      </x:c>
      <x:c r="D35" s="20" t="str">
        <x:v>Chromium hors ligne ; ressources locales</x:v>
      </x:c>
      <x:c r="E35" s="20" t="str">
        <x:v>qa-delivery-r10/BROWSER_R10_RESULTS.json</x:v>
      </x:c>
    </x:row>
    <x:row r="36" ht="58" customHeight="1">
      <x:c r="A36" s="20" t="str">
        <x:v>BROW-16</x:v>
      </x:c>
      <x:c r="B36" s="20" t="str">
        <x:v>Complete CPU duel equals its no-intro baseline / 390</x:v>
      </x:c>
      <x:c r="C36" s="20" t="str">
        <x:v>RÉUSSI</x:v>
      </x:c>
      <x:c r="D36" s="20" t="str">
        <x:v>Chromium hors ligne ; ressources locales</x:v>
      </x:c>
      <x:c r="E36" s="20" t="str">
        <x:v>qa-delivery-r10/BROWSER_R10_RESULTS.json</x:v>
      </x:c>
    </x:row>
    <x:row r="37" ht="58" customHeight="1">
      <x:c r="A37" s="20" t="str">
        <x:v>BROW-17</x:v>
      </x:c>
      <x:c r="B37" s="20" t="str">
        <x:v>R9 outro is preserved and combat stays frozen / 390</x:v>
      </x:c>
      <x:c r="C37" s="20" t="str">
        <x:v>RÉUSSI</x:v>
      </x:c>
      <x:c r="D37" s="20" t="str">
        <x:v>Chromium hors ligne ; ressources locales</x:v>
      </x:c>
      <x:c r="E37" s="20" t="str">
        <x:v>qa-delivery-r10/BROWSER_R10_RESULTS.json</x:v>
      </x:c>
    </x:row>
    <x:row r="38" ht="58" customHeight="1">
      <x:c r="A38" s="20" t="str">
        <x:v>BROW-18</x:v>
      </x:c>
      <x:c r="B38" s="20" t="str">
        <x:v>Invalid import preserves intro; valid replay cancels it / 390</x:v>
      </x:c>
      <x:c r="C38" s="20" t="str">
        <x:v>RÉUSSI</x:v>
      </x:c>
      <x:c r="D38" s="20" t="str">
        <x:v>Chromium hors ligne ; ressources locales</x:v>
      </x:c>
      <x:c r="E38" s="20" t="str">
        <x:v>qa-delivery-r10/BROWSER_R10_RESULTS.json</x:v>
      </x:c>
    </x:row>
    <x:row r="39" ht="58" customHeight="1">
      <x:c r="A39" s="20" t="str">
        <x:v>BROW-19</x:v>
      </x:c>
      <x:c r="B39" s="20" t="str">
        <x:v>Duel layout and actual script errors / 390</x:v>
      </x:c>
      <x:c r="C39" s="20" t="str">
        <x:v>RÉUSSI</x:v>
      </x:c>
      <x:c r="D39" s="20" t="str">
        <x:v>Chromium hors ligne ; ressources locales</x:v>
      </x:c>
      <x:c r="E39" s="20" t="str">
        <x:v>qa-delivery-r10/BROWSER_R10_RESULTS.json</x:v>
      </x:c>
    </x:row>
    <x:row r="40" ht="58" customHeight="1">
      <x:c r="A40" s="20" t="str">
        <x:v>BROW-20</x:v>
      </x:c>
      <x:c r="B40" s="20" t="str">
        <x:v>Qualified pair keeps conclusion and credit / 390</x:v>
      </x:c>
      <x:c r="C40" s="20" t="str">
        <x:v>RÉUSSI</x:v>
      </x:c>
      <x:c r="D40" s="20" t="str">
        <x:v>Chromium hors ligne ; ressources locales</x:v>
      </x:c>
      <x:c r="E40" s="20" t="str">
        <x:v>qa-delivery-r10/BROWSER_R10_RESULTS.json</x:v>
      </x:c>
    </x:row>
    <x:row r="41" ht="58" customHeight="1">
      <x:c r="A41" s="20" t="str">
        <x:v>BROW-21</x:v>
      </x:c>
      <x:c r="B41" s="20" t="str">
        <x:v>Unsupported victims cannot create a scene or credit / 390</x:v>
      </x:c>
      <x:c r="C41" s="20" t="str">
        <x:v>RÉUSSI</x:v>
      </x:c>
      <x:c r="D41" s="20" t="str">
        <x:v>Chromium hors ligne ; ressources locales</x:v>
      </x:c>
      <x:c r="E41" s="20" t="str">
        <x:v>qa-delivery-r10/BROWSER_R10_RESULTS.json</x:v>
      </x:c>
    </x:row>
    <x:row r="42" ht="58" customHeight="1">
      <x:c r="A42" s="20" t="str">
        <x:v>BROW-22</x:v>
      </x:c>
      <x:c r="B42" s="20" t="str">
        <x:v>Natural incompatible duel ends normally without a stuck finisher window / 390</x:v>
      </x:c>
      <x:c r="C42" s="20" t="str">
        <x:v>RÉUSSI</x:v>
      </x:c>
      <x:c r="D42" s="20" t="str">
        <x:v>Chromium hors ligne ; ressources locales</x:v>
      </x:c>
      <x:c r="E42" s="20" t="str">
        <x:v>qa-delivery-r10/BROWSER_R10_RESULTS.json</x:v>
      </x:c>
    </x:row>
    <x:row r="43" ht="58" customHeight="1">
      <x:c r="A43" s="20" t="str">
        <x:v>BROW-23</x:v>
      </x:c>
      <x:c r="B43" s="20" t="str">
        <x:v>First-round protection survives compatibility filtering / 390</x:v>
      </x:c>
      <x:c r="C43" s="20" t="str">
        <x:v>RÉUSSI</x:v>
      </x:c>
      <x:c r="D43" s="20" t="str">
        <x:v>Chromium hors ligne ; ressources locales</x:v>
      </x:c>
      <x:c r="E43" s="20" t="str">
        <x:v>qa-delivery-r10/BROWSER_R10_RESULTS.json</x:v>
      </x:c>
    </x:row>
    <x:row r="44" ht="58" customHeight="1">
      <x:c r="A44" s="20" t="str">
        <x:v>BROW-24</x:v>
      </x:c>
      <x:c r="B44" s="20" t="str">
        <x:v>Archive victim filter and narrow layout / 390</x:v>
      </x:c>
      <x:c r="C44" s="20" t="str">
        <x:v>RÉUSSI</x:v>
      </x:c>
      <x:c r="D44" s="20" t="str">
        <x:v>Chromium hors ligne ; ressources locales</x:v>
      </x:c>
      <x:c r="E44" s="20" t="str">
        <x:v>qa-delivery-r10/BROWSER_R10_RESULTS.json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6a3431f49a4401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6" customHeight="1">
      <x:c r="A1" s="24" t="str">
        <x:v>B.O.W. PROTOCOL / R10</x:v>
      </x:c>
      <x:c r="B1" s="24"/>
      <x:c r="C1" s="24"/>
      <x:c r="D1" s="24"/>
      <x:c r="E1" s="24"/>
      <x:c r="F1" s="24"/>
    </x:row>
    <x:row r="2" ht="26" customHeight="1">
      <x:c r="A2" s="27" t="str">
        <x:v>LIVRAISON LOCALE • suite de PR11 / R9
Intro des essais et compatibilité des conclusions. Aucun push GitHub ni dépôt Drive effectué.</x:v>
      </x:c>
      <x:c r="B2" s="27"/>
      <x:c r="C2" s="27"/>
      <x:c r="D2" s="27"/>
      <x:c r="E2" s="27"/>
      <x:c r="F2" s="27"/>
    </x:row>
    <x:row r="3" ht="26" customHeight="1">
      <x:c r="A3" s="27"/>
      <x:c r="B3" s="27"/>
      <x:c r="C3" s="27"/>
      <x:c r="D3" s="27"/>
      <x:c r="E3" s="27"/>
      <x:c r="F3" s="27"/>
    </x:row>
    <x:row r="5" ht="46" customHeight="1">
      <x:c r="A5" s="32" t="str">
        <x:v>Lots techniques validés localement</x:v>
      </x:c>
      <x:c r="B5" s="32"/>
      <x:c r="C5" s="32"/>
      <x:c r="D5" s="38" t="n">
        <x:f>COUNTIF('01_Clotures'!D5:D12,"VALIDÉ LOCAL")</x:f>
        <x:v>5</x:v>
      </x:c>
      <x:c r="E5" s="32" t="str">
        <x:v>sur 8 lignes de suivi, sans clôture P1</x:v>
      </x:c>
      <x:c r="F5" s="32"/>
    </x:row>
    <x:row r="6" ht="46" customHeight="1">
      <x:c r="A6" s="32" t="str">
        <x:v>Chantiers encore ouverts</x:v>
      </x:c>
      <x:c r="B6" s="32"/>
      <x:c r="C6" s="32"/>
      <x:c r="D6" s="38" t="n">
        <x:f>COUNTIF('01_Clotures'!D5:D12,"OUVERT")</x:f>
        <x:v>3</x:v>
      </x:c>
      <x:c r="E6" s="32" t="str">
        <x:v>dont intégration GitHub et production 1:1</x:v>
      </x:c>
      <x:c r="F6" s="32"/>
    </x:row>
    <x:row r="7" ht="46" customHeight="1">
      <x:c r="A7" s="32" t="str">
        <x:v>Sujets couverts par le filtre</x:v>
      </x:c>
      <x:c r="B7" s="32"/>
      <x:c r="C7" s="32"/>
      <x:c r="D7" s="38" t="n">
        <x:f>COUNTA('02_Gabarits'!A5:A119)</x:f>
        <x:v>115</x:v>
      </x:c>
      <x:c r="E7" s="32" t="str">
        <x:v>115 lignes ; ce ne sont pas des corps artistiques validés</x:v>
      </x:c>
      <x:c r="F7" s="32"/>
    </x:row>
    <x:row r="8" ht="46" customHeight="1">
      <x:c r="A8" s="32" t="str">
        <x:v>Combinaisons finisher / victime contrôlées</x:v>
      </x:c>
      <x:c r="B8" s="32"/>
      <x:c r="C8" s="32"/>
      <x:c r="D8" s="38" t="n">
        <x:f>COUNTA('02_Gabarits'!A5:A119)^2*4</x:f>
        <x:v>52900</x:v>
      </x:c>
      <x:c r="E8" s="32" t="str">
        <x:v>115 × 115 × 4 ; règle de prototype</x:v>
      </x:c>
      <x:c r="F8" s="32"/>
    </x:row>
    <x:row r="9" ht="46" customHeight="1">
      <x:c r="A9" s="32" t="str">
        <x:v>Combinaisons techniquement permises</x:v>
      </x:c>
      <x:c r="B9" s="32"/>
      <x:c r="C9" s="32"/>
      <x:c r="D9" s="38" t="n">
        <x:f>SUM('02_Gabarits'!F5:F119)</x:f>
        <x:v>8744</x:v>
      </x:c>
      <x:c r="E9" s="32" t="str">
        <x:v>les autres reviennent au résultat normal</x:v>
      </x:c>
      <x:c r="F9" s="32"/>
    </x:row>
    <x:row r="10" ht="46" customHeight="1">
      <x:c r="A10" s="32" t="str">
        <x:v>Tests R10 et scénarios locaux réussis</x:v>
      </x:c>
      <x:c r="B10" s="32"/>
      <x:c r="C10" s="32"/>
      <x:c r="D10" s="38" t="n">
        <x:f>COUNTIF('04_Preuve'!C5:C44,"RÉUSSI")</x:f>
        <x:v>40</x:v>
      </x:c>
      <x:c r="E10" s="32" t="str">
        <x:v>16 groupes Node + 24 scénarios Chromium hors ligne</x:v>
      </x:c>
      <x:c r="F10" s="32"/>
    </x:row>
    <x:row r="13" ht="21" customHeight="1">
      <x:c r="A13" s="43" t="str">
        <x:v>FERMÉ LOCALEMENT : déroulement de l’intro, contrôle des entrées et refus des conclusions incompatibles.</x:v>
      </x:c>
      <x:c r="B13" s="43"/>
      <x:c r="C13" s="43"/>
      <x:c r="D13" s="43"/>
      <x:c r="E13" s="43"/>
      <x:c r="F13" s="43"/>
    </x:row>
    <x:row r="14" ht="21" customHeight="1">
      <x:c r="A14" s="43"/>
      <x:c r="B14" s="43"/>
      <x:c r="C14" s="43"/>
      <x:c r="D14" s="43"/>
      <x:c r="E14" s="43"/>
      <x:c r="F14" s="43"/>
    </x:row>
    <x:row r="15" ht="21" customHeight="1">
      <x:c r="A15" s="43" t="str">
        <x:v>OUVERT : dessins, animations par geste, mises à mort attestées, phases et validation anatomique 1:1.</x:v>
      </x:c>
      <x:c r="B15" s="43"/>
      <x:c r="C15" s="43"/>
      <x:c r="D15" s="43"/>
      <x:c r="E15" s="43"/>
      <x:c r="F15" s="43"/>
    </x:row>
    <x:row r="16" ht="21" customHeight="1">
      <x:c r="A16" s="43"/>
      <x:c r="B16" s="43"/>
      <x:c r="C16" s="43"/>
      <x:c r="D16" s="43"/>
      <x:c r="E16" s="43"/>
      <x:c r="F16" s="43"/>
    </x:row>
    <x:row r="17" ht="21" customHeight="1">
      <x:c r="A17" s="43" t="str">
        <x:v>BASE PR : 58b311b73a7890fe55a073515e5a2cbf2009a6b8 • gameplay 0.7.3</x:v>
      </x:c>
      <x:c r="B17" s="43"/>
      <x:c r="C17" s="43"/>
      <x:c r="D17" s="43"/>
      <x:c r="E17" s="43"/>
      <x:c r="F17" s="43"/>
    </x:row>
    <x:row r="18" ht="21" customHeight="1">
      <x:c r="A18" s="43"/>
      <x:c r="B18" s="43"/>
      <x:c r="C18" s="43"/>
      <x:c r="D18" s="43"/>
      <x:c r="E18" s="43"/>
      <x:c r="F18" s="43"/>
    </x:row>
    <x:row r="19" ht="21" customHeight="1">
      <x:c r="A19" s="43" t="str">
        <x:v>Les deux contrats de replay expérimentaux/contextuels restent inchangés. Le contrat principal est actualisé.</x:v>
      </x:c>
      <x:c r="B19" s="43"/>
      <x:c r="C19" s="43"/>
      <x:c r="D19" s="43"/>
      <x:c r="E19" s="43"/>
      <x:c r="F19" s="43"/>
    </x:row>
    <x:row r="20" ht="21" customHeight="1">
      <x:c r="A20" s="43"/>
      <x:c r="B20" s="43"/>
      <x:c r="C20" s="43"/>
      <x:c r="D20" s="43"/>
      <x:c r="E20" s="43"/>
      <x:c r="F20" s="43"/>
    </x:row>
  </x:sheetData>
  <x:mergeCells>
    <x:mergeCell ref="A1:F1"/>
    <x:mergeCell ref="A2:F3"/>
    <x:mergeCell ref="A5:C5"/>
    <x:mergeCell ref="E5:F5"/>
    <x:mergeCell ref="A6:C6"/>
    <x:mergeCell ref="E6:F6"/>
    <x:mergeCell ref="A7:C7"/>
    <x:mergeCell ref="E7:F7"/>
    <x:mergeCell ref="A8:C8"/>
    <x:mergeCell ref="E8:F8"/>
    <x:mergeCell ref="A9:C9"/>
    <x:mergeCell ref="E9:F9"/>
    <x:mergeCell ref="A10:C10"/>
    <x:mergeCell ref="E10:F10"/>
    <x:mergeCell ref="A13:F14"/>
    <x:mergeCell ref="A15:F16"/>
    <x:mergeCell ref="A17:F18"/>
    <x:mergeCell ref="A19:F20"/>
  </x:mergeCells>
  <x:pageMargins left="0.7" right="0.7" top="0.75" bottom="0.75" header="0.3" footer="0.3"/>
</x:worksheet>
</file>