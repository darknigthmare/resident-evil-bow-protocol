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e0ee6e4ea34d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se" sheetId="1" r:id="Rd7f37c7253664555"/>
    <x:sheet xmlns:r="http://schemas.openxmlformats.org/officeDocument/2006/relationships" name="Lots_P1" sheetId="2" r:id="R48d071e6c46243b7"/>
    <x:sheet xmlns:r="http://schemas.openxmlformats.org/officeDocument/2006/relationships" name="Registre" sheetId="3" r:id="R86eede5cf4e647c1"/>
    <x:sheet xmlns:r="http://schemas.openxmlformats.org/officeDocument/2006/relationships" name="QA" sheetId="4" r:id="R6a914cab987c471e"/>
    <x:sheet xmlns:r="http://schemas.openxmlformats.org/officeDocument/2006/relationships" name="Sources" sheetId="5" r:id="R70621e188e4941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1B2E24"/>
      <x:name val="Carlito"/>
    </x:font>
    <x:font>
      <x:sz val="11"/>
      <x:color rgb="FF1B2E24"/>
      <x:name val="Aptos"/>
    </x:font>
    <x:font>
      <x:b/>
      <x:sz val="22"/>
      <x:color rgb="FFFFFFFF"/>
      <x:name val="Aptos"/>
    </x:font>
    <x:font>
      <x:b/>
      <x:sz val="10"/>
      <x:color rgb="FFFFFFFF"/>
      <x:name val="Aptos"/>
    </x:font>
    <x:font>
      <x:b/>
      <x:sz val="26"/>
      <x:color rgb="FF1B2E24"/>
      <x:name val="Aptos"/>
    </x:font>
    <x:font>
      <x:b/>
      <x:sz val="11"/>
      <x:color rgb="FF1B2E24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0271F"/>
      </x:patternFill>
    </x:fill>
    <x:fill>
      <x:patternFill patternType="solid">
        <x:fgColor rgb="FF344E3D"/>
      </x:patternFill>
    </x:fill>
    <x:fill>
      <x:patternFill patternType="solid">
        <x:fgColor rgb="FFEDF2EE"/>
      </x:patternFill>
    </x:fill>
    <x:fill>
      <x:patternFill patternType="solid">
        <x:fgColor rgb="FFDDEADD"/>
      </x:patternFill>
    </x:fill>
    <x:fill>
      <x:patternFill patternType="solid">
        <x:fgColor rgb="FFFFFFFF"/>
      </x:patternFill>
    </x:fill>
    <x:fill>
      <x:patternFill patternType="solid">
        <x:fgColor rgb="FFFFF0D4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2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4" fillId="5" borderId="0" xfId="0" applyNumberFormat="1" applyFont="1" applyFill="1" applyBorder="1"/>
    <x:xf numFmtId="0" fontId="7" fillId="5" borderId="0" xfId="0" applyNumberFormat="1" applyFont="1" applyFill="1" applyBorder="1"/>
    <x:xf numFmtId="0" fontId="4" fillId="5" borderId="1" xfId="0" applyNumberFormat="1" applyFont="1" applyFill="1" applyBorder="1"/>
    <x:xf numFmtId="0" fontId="7" fillId="5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ffd22c281047f2" /><Relationship Type="http://schemas.openxmlformats.org/officeDocument/2006/relationships/theme" Target="/xl/theme/theme1.xml" Id="R84cb73cc85ca41e9" /><Relationship Type="http://schemas.openxmlformats.org/officeDocument/2006/relationships/sharedStrings" Target="/xl/sharedStrings.xml" Id="R6ae4a70d515e4218" /><Relationship Type="http://schemas.openxmlformats.org/officeDocument/2006/relationships/worksheet" Target="/xl/worksheets/sheet1.xml" Id="Rd7f37c7253664555" /><Relationship Type="http://schemas.openxmlformats.org/officeDocument/2006/relationships/worksheet" Target="/xl/worksheets/sheet2.xml" Id="R48d071e6c46243b7" /><Relationship Type="http://schemas.openxmlformats.org/officeDocument/2006/relationships/worksheet" Target="/xl/worksheets/sheet3.xml" Id="R86eede5cf4e647c1" /><Relationship Type="http://schemas.openxmlformats.org/officeDocument/2006/relationships/worksheet" Target="/xl/worksheets/sheet4.xml" Id="R6a914cab987c471e" /><Relationship Type="http://schemas.openxmlformats.org/officeDocument/2006/relationships/worksheet" Target="/xl/worksheets/sheet5.xml" Id="R70621e188e4941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23" t="str">
        <x:v>B.O.W. PROTOCOL / R19</x:v>
      </x:c>
      <x:c r="B1" s="23"/>
      <x:c r="C1" s="23"/>
      <x:c r="D1" s="23"/>
      <x:c r="E1" s="23"/>
      <x:c r="F1" s="23"/>
      <x:c r="G1" s="23"/>
      <x:c r="H1" s="23"/>
    </x:row>
    <x:row r="2" ht="28" customHeight="1">
      <x:c r="A2" s="23"/>
      <x:c r="B2" s="23"/>
      <x:c r="C2" s="23"/>
      <x:c r="D2" s="23"/>
      <x:c r="E2" s="23"/>
      <x:c r="F2" s="23"/>
      <x:c r="G2" s="23"/>
      <x:c r="H2" s="23"/>
    </x:row>
    <x:row r="3" ht="23" customHeight="1">
      <x:c r="A3" s="20"/>
      <x:c r="B3" s="20"/>
      <x:c r="C3" s="20"/>
      <x:c r="D3" s="20"/>
      <x:c r="E3" s="20"/>
      <x:c r="F3" s="20"/>
      <x:c r="G3" s="20"/>
      <x:c r="H3" s="20"/>
    </x:row>
    <x:row r="4" ht="40" customHeight="1">
      <x:c r="A4" s="26" t="str">
        <x:v>Centre de sauvegarde : conserver, examiner, restaurer sans fusion silencieuse.</x:v>
      </x:c>
      <x:c r="B4" s="26"/>
      <x:c r="C4" s="26"/>
      <x:c r="D4" s="26"/>
      <x:c r="E4" s="26"/>
      <x:c r="F4" s="26"/>
      <x:c r="G4" s="26"/>
      <x:c r="H4" s="26"/>
    </x:row>
    <x:row r="5" ht="23" customHeight="1">
      <x:c r="A5" s="20"/>
      <x:c r="B5" s="20"/>
      <x:c r="C5" s="20"/>
      <x:c r="D5" s="20"/>
      <x:c r="E5" s="20"/>
      <x:c r="F5" s="20"/>
      <x:c r="G5" s="20"/>
      <x:c r="H5" s="20"/>
    </x:row>
    <x:row r="6" ht="23" customHeight="1">
      <x:c r="A6" s="28" t="str">
        <x:v>LOTS TECHNIQUES</x:v>
      </x:c>
      <x:c r="B6" s="28"/>
      <x:c r="C6" s="20"/>
      <x:c r="D6" s="28" t="str">
        <x:v>CLÉS DÉCLARÉES</x:v>
      </x:c>
      <x:c r="E6" s="28"/>
      <x:c r="F6" s="20"/>
      <x:c r="G6" s="28" t="str">
        <x:v>TESTS LOCAUX PASS</x:v>
      </x:c>
      <x:c r="H6" s="28"/>
    </x:row>
    <x:row r="7" ht="46" customHeight="1">
      <x:c r="A7" s="31" t="n">
        <x:f>COUNTA(Lots_P1!A5:A10)</x:f>
        <x:v>6</x:v>
      </x:c>
      <x:c r="B7" s="31"/>
      <x:c r="C7" s="20"/>
      <x:c r="D7" s="31" t="n">
        <x:f>COUNTA(Registre!C5:C22)</x:f>
        <x:v>18</x:v>
      </x:c>
      <x:c r="E7" s="31"/>
      <x:c r="F7" s="20"/>
      <x:c r="G7" s="31" t="n">
        <x:f>COUNTIF(QA!C5:C29,"PASS")</x:f>
        <x:v>25</x:v>
      </x:c>
      <x:c r="H7" s="31"/>
    </x:row>
    <x:row r="8" ht="23" customHeight="1">
      <x:c r="A8" s="20"/>
      <x:c r="B8" s="20"/>
      <x:c r="C8" s="20"/>
      <x:c r="D8" s="20"/>
      <x:c r="E8" s="20"/>
      <x:c r="F8" s="20"/>
      <x:c r="G8" s="20"/>
      <x:c r="H8" s="20"/>
    </x:row>
    <x:row r="9" ht="23" customHeight="1">
      <x:c r="A9" s="20"/>
      <x:c r="B9" s="20"/>
      <x:c r="C9" s="20"/>
      <x:c r="D9" s="20"/>
      <x:c r="E9" s="20"/>
      <x:c r="F9" s="20"/>
      <x:c r="G9" s="20"/>
      <x:c r="H9" s="20"/>
    </x:row>
    <x:row r="10" ht="26" customHeight="1">
      <x:c r="A10" s="36" t="str">
        <x:v>Huit groupes distincts : Dossiers, opérations, exercices, replays, conclusions, commandes, dojo et audio.</x:v>
      </x:c>
      <x:c r="B10" s="36"/>
      <x:c r="C10" s="36"/>
      <x:c r="D10" s="36"/>
      <x:c r="E10" s="36"/>
      <x:c r="F10" s="36"/>
      <x:c r="G10" s="36"/>
      <x:c r="H10" s="36"/>
    </x:row>
    <x:row r="11" ht="26" customHeight="1">
      <x:c r="A11" s="36"/>
      <x:c r="B11" s="36"/>
      <x:c r="C11" s="36"/>
      <x:c r="D11" s="36"/>
      <x:c r="E11" s="36"/>
      <x:c r="F11" s="36"/>
      <x:c r="G11" s="36"/>
      <x:c r="H11" s="36"/>
    </x:row>
    <x:row r="12" ht="23" customHeight="1">
      <x:c r="A12" s="20"/>
      <x:c r="B12" s="20"/>
      <x:c r="C12" s="20"/>
      <x:c r="D12" s="20"/>
      <x:c r="E12" s="20"/>
      <x:c r="F12" s="20"/>
      <x:c r="G12" s="20"/>
      <x:c r="H12" s="20"/>
    </x:row>
    <x:row r="13" ht="26" customHeight="1">
      <x:c r="A13" s="42" t="str">
        <x:v>Les valeurs brutes sont préservées, y compris pour récupération. Une copie endommagée peut être exportée, mais son groupe n’est pas restaurable.</x:v>
      </x:c>
      <x:c r="B13" s="42"/>
      <x:c r="C13" s="42"/>
      <x:c r="D13" s="42"/>
      <x:c r="E13" s="42"/>
      <x:c r="F13" s="42"/>
      <x:c r="G13" s="42"/>
      <x:c r="H13" s="42"/>
    </x:row>
    <x:row r="14" ht="26" customHeight="1">
      <x:c r="A14" s="42"/>
      <x:c r="B14" s="42"/>
      <x:c r="C14" s="42"/>
      <x:c r="D14" s="42"/>
      <x:c r="E14" s="42"/>
      <x:c r="F14" s="42"/>
      <x:c r="G14" s="42"/>
      <x:c r="H14" s="42"/>
    </x:row>
    <x:row r="15" ht="23" customHeight="1">
      <x:c r="A15" s="20"/>
      <x:c r="B15" s="20"/>
      <x:c r="C15" s="20"/>
      <x:c r="D15" s="20"/>
      <x:c r="E15" s="20"/>
      <x:c r="F15" s="20"/>
      <x:c r="G15" s="20"/>
      <x:c r="H15" s="20"/>
    </x:row>
    <x:row r="16" ht="26" customHeight="1">
      <x:c r="A16" s="36" t="str">
        <x:v>Avant remplacement : sélection des groupes, liste des clés modifiées, téléchargement de l’état local et confirmation explicite.</x:v>
      </x:c>
      <x:c r="B16" s="36"/>
      <x:c r="C16" s="36"/>
      <x:c r="D16" s="36"/>
      <x:c r="E16" s="36"/>
      <x:c r="F16" s="36"/>
      <x:c r="G16" s="36"/>
      <x:c r="H16" s="36"/>
    </x:row>
    <x:row r="17" ht="26" customHeight="1">
      <x:c r="A17" s="36"/>
      <x:c r="B17" s="36"/>
      <x:c r="C17" s="36"/>
      <x:c r="D17" s="36"/>
      <x:c r="E17" s="36"/>
      <x:c r="F17" s="36"/>
      <x:c r="G17" s="36"/>
      <x:c r="H17" s="36"/>
    </x:row>
    <x:row r="18" ht="23" customHeight="1">
      <x:c r="A18" s="20"/>
      <x:c r="B18" s="20"/>
      <x:c r="C18" s="20"/>
      <x:c r="D18" s="20"/>
      <x:c r="E18" s="20"/>
      <x:c r="F18" s="20"/>
      <x:c r="G18" s="20"/>
      <x:c r="H18" s="20"/>
    </x:row>
    <x:row r="19" ht="26" customHeight="1">
      <x:c r="A19" s="42" t="str">
        <x:v>Un échec déclenche un retour contrôlé. Une modification extérieure est conservée ; le retour incomplet est signalé, jamais présenté comme un succès.</x:v>
      </x:c>
      <x:c r="B19" s="42"/>
      <x:c r="C19" s="42"/>
      <x:c r="D19" s="42"/>
      <x:c r="E19" s="42"/>
      <x:c r="F19" s="42"/>
      <x:c r="G19" s="42"/>
      <x:c r="H19" s="42"/>
    </x:row>
    <x:row r="20" ht="26" customHeight="1">
      <x:c r="A20" s="42"/>
      <x:c r="B20" s="42"/>
      <x:c r="C20" s="42"/>
      <x:c r="D20" s="42"/>
      <x:c r="E20" s="42"/>
      <x:c r="F20" s="42"/>
      <x:c r="G20" s="42"/>
      <x:c r="H20" s="42"/>
    </x:row>
    <x:row r="21" ht="23" customHeight="1">
      <x:c r="A21" s="20"/>
      <x:c r="B21" s="20"/>
      <x:c r="C21" s="20"/>
      <x:c r="D21" s="20"/>
      <x:c r="E21" s="20"/>
      <x:c r="F21" s="20"/>
      <x:c r="G21" s="20"/>
      <x:c r="H21" s="20"/>
    </x:row>
    <x:row r="22" ht="26" customHeight="1">
      <x:c r="A22" s="36" t="str">
        <x:v>Les données, mouvements, récits, images et contrats existants ne changent pas. Pas de nouveau sprite, son ou certification de fidélité 1:1.</x:v>
      </x:c>
      <x:c r="B22" s="36"/>
      <x:c r="C22" s="36"/>
      <x:c r="D22" s="36"/>
      <x:c r="E22" s="36"/>
      <x:c r="F22" s="36"/>
      <x:c r="G22" s="36"/>
      <x:c r="H22" s="36"/>
    </x:row>
    <x:row r="23" ht="26" customHeight="1">
      <x:c r="A23" s="36"/>
      <x:c r="B23" s="36"/>
      <x:c r="C23" s="36"/>
      <x:c r="D23" s="36"/>
      <x:c r="E23" s="36"/>
      <x:c r="F23" s="36"/>
      <x:c r="G23" s="36"/>
      <x:c r="H23" s="36"/>
    </x:row>
    <x:row r="24" ht="23" customHeight="1">
      <x:c r="A24" s="20"/>
      <x:c r="B24" s="20"/>
      <x:c r="C24" s="20"/>
      <x:c r="D24" s="20"/>
      <x:c r="E24" s="20"/>
      <x:c r="F24" s="20"/>
      <x:c r="G24" s="20"/>
      <x:c r="H24" s="20"/>
    </x:row>
    <x:row r="25" ht="26" customHeight="1">
      <x:c r="A25" s="42" t="str">
        <x:v>La validation HTTP et l’état de publication du commit final sont consignés séparément dans le rapport. Aucun appareil physique certifié.</x:v>
      </x:c>
      <x:c r="B25" s="42"/>
      <x:c r="C25" s="42"/>
      <x:c r="D25" s="42"/>
      <x:c r="E25" s="42"/>
      <x:c r="F25" s="42"/>
      <x:c r="G25" s="42"/>
      <x:c r="H25" s="42"/>
    </x:row>
    <x:row r="26" ht="26" customHeight="1">
      <x:c r="A26" s="42"/>
      <x:c r="B26" s="42"/>
      <x:c r="C26" s="42"/>
      <x:c r="D26" s="42"/>
      <x:c r="E26" s="42"/>
      <x:c r="F26" s="42"/>
      <x:c r="G26" s="42"/>
      <x:c r="H26" s="42"/>
    </x:row>
    <x:row r="27" ht="23" customHeight="1">
      <x:c r="A27" s="20"/>
      <x:c r="B27" s="20"/>
      <x:c r="C27" s="20"/>
      <x:c r="D27" s="20"/>
      <x:c r="E27" s="20"/>
      <x:c r="F27" s="20"/>
      <x:c r="G27" s="20"/>
      <x:c r="H27" s="20"/>
    </x:row>
    <x:row r="28" ht="34" customHeight="1">
      <x:c r="A28" s="48" t="str">
        <x:v>LOTS GLOBAUX TERMINÉS — PAS DE CLÔTURE ARTIFICIELLE</x:v>
      </x:c>
      <x:c r="B28" s="48"/>
      <x:c r="C28" s="48"/>
      <x:c r="D28" s="48"/>
      <x:c r="E28" s="48"/>
      <x:c r="F28" s="48"/>
      <x:c r="G28" s="48" t="n">
        <x:f>COUNTIF(Lots_P1!F5:F10,"TERMINÉ")</x:f>
        <x:v>0</x:v>
      </x:c>
      <x:c r="H28" s="48"/>
    </x:row>
    <x:row r="29" ht="23" customHeight="1">
      <x:c r="A29" s="20"/>
      <x:c r="B29" s="20"/>
      <x:c r="C29" s="20"/>
      <x:c r="D29" s="20"/>
      <x:c r="E29" s="20"/>
      <x:c r="F29" s="20"/>
      <x:c r="G29" s="20"/>
      <x:c r="H29" s="20"/>
    </x:row>
    <x:row r="30" ht="23" customHeight="1">
      <x:c r="A30" s="20" t="str">
        <x:v>21 octobre 2026 · Complément P1 / base R18 · sauvegarde locale, pas synchronisation cloud.</x:v>
      </x:c>
      <x:c r="B30" s="20"/>
      <x:c r="C30" s="20"/>
      <x:c r="D30" s="20"/>
      <x:c r="E30" s="20"/>
      <x:c r="F30" s="20"/>
      <x:c r="G30" s="20"/>
      <x:c r="H30" s="20"/>
    </x:row>
  </x:sheetData>
  <x:mergeCells>
    <x:mergeCell ref="A1:H2"/>
    <x:mergeCell ref="A4:H4"/>
    <x:mergeCell ref="A6:B6"/>
    <x:mergeCell ref="A7:B7"/>
    <x:mergeCell ref="D6:E6"/>
    <x:mergeCell ref="D7:E7"/>
    <x:mergeCell ref="G6:H6"/>
    <x:mergeCell ref="G7:H7"/>
    <x:mergeCell ref="A10:H11"/>
    <x:mergeCell ref="A13:H14"/>
    <x:mergeCell ref="A16:H17"/>
    <x:mergeCell ref="A19:H20"/>
    <x:mergeCell ref="A22:H23"/>
    <x:mergeCell ref="A25:H26"/>
    <x:mergeCell ref="A28:F28"/>
    <x:mergeCell ref="G28:H28"/>
    <x:mergeCell ref="A30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4" hidden="0" customWidth="1"/>
    <x:col min="3" max="3" width="22" hidden="0" customWidth="1"/>
    <x:col min="4" max="4" width="43" hidden="0" customWidth="1"/>
    <x:col min="5" max="5" width="38" hidden="0" customWidth="1"/>
    <x:col min="6" max="6" width="19" hidden="0" customWidth="1"/>
    <x:col min="7" max="7" width="43" hidden="0" customWidth="1"/>
  </x:cols>
  <x:sheetData>
    <x:row r="1" ht="24" customHeight="1">
      <x:c r="A1" s="3" t="str">
        <x:v>R19 / SUIVI DES SAUVEGARDES</x:v>
      </x:c>
      <x:c r="B1" s="3"/>
      <x:c r="C1" s="3"/>
      <x:c r="D1" s="3"/>
      <x:c r="E1" s="3"/>
      <x:c r="F1" s="3"/>
      <x:c r="G1" s="3"/>
    </x:row>
    <x:row r="2" ht="24" customHeight="1">
      <x:c r="A2" s="3"/>
      <x:c r="B2" s="3"/>
      <x:c r="C2" s="3"/>
      <x:c r="D2" s="3"/>
      <x:c r="E2" s="3"/>
      <x:c r="F2" s="3"/>
      <x:c r="G2" s="3"/>
    </x:row>
    <x:row r="4" ht="32" customHeight="1">
      <x:c r="A4" s="8" t="str">
        <x:v>Lot P1</x:v>
      </x:c>
      <x:c r="B4" s="8" t="str">
        <x:v>Travail</x:v>
      </x:c>
      <x:c r="C4" s="8" t="str">
        <x:v>État technique</x:v>
      </x:c>
      <x:c r="D4" s="8" t="str">
        <x:v>Livré</x:v>
      </x:c>
      <x:c r="E4" s="8" t="str">
        <x:v>Preuve</x:v>
      </x:c>
      <x:c r="F4" s="8" t="str">
        <x:v>Objectif global</x:v>
      </x:c>
      <x:c r="G4" s="8" t="str">
        <x:v>Limite</x:v>
      </x:c>
    </x:row>
    <x:row r="5" ht="64" customHeight="1">
      <x:c r="A5" s="18" t="str">
        <x:v>G-SAUVES / R19-01</x:v>
      </x:c>
      <x:c r="B5" s="18" t="str">
        <x:v>Inventaire ciblé</x:v>
      </x:c>
      <x:c r="C5" s="18" t="str">
        <x:v>VALIDÉ LOCAL</x:v>
      </x:c>
      <x:c r="D5" s="18" t="str">
        <x:v>18 clés dans huit groupes ; aucune donnée étrangère lue.</x:v>
      </x:c>
      <x:c r="E5" s="18" t="str">
        <x:v>Registre et tests de lecture</x:v>
      </x:c>
      <x:c r="F5" s="18" t="str">
        <x:v>EN COURS</x:v>
      </x:c>
      <x:c r="G5" s="18" t="str">
        <x:v>Les clés inconnues des anciennes versions ne sont pas inventoriées.</x:v>
      </x:c>
    </x:row>
    <x:row r="6" ht="64" customHeight="1">
      <x:c r="A6" s="14" t="str">
        <x:v>G-SAUVES / R19-02</x:v>
      </x:c>
      <x:c r="B6" s="14" t="str">
        <x:v>Export de récupération</x:v>
      </x:c>
      <x:c r="C6" s="14" t="str">
        <x:v>VALIDÉ LOCAL</x:v>
      </x:c>
      <x:c r="D6" s="14" t="str">
        <x:v>Valeurs brutes, espaces, Unicode et copies endommagées conservés.</x:v>
      </x:c>
      <x:c r="E6" s="14" t="str">
        <x:v>Test aller-retour exact</x:v>
      </x:c>
      <x:c r="F6" s="14" t="str">
        <x:v>EN COURS</x:v>
      </x:c>
      <x:c r="G6" s="14" t="str">
        <x:v>Une session en mémoire ou un stockage inaccessible ne peut pas être exporté ici.</x:v>
      </x:c>
    </x:row>
    <x:row r="7" ht="64" customHeight="1">
      <x:c r="A7" s="18" t="str">
        <x:v>G-SAUVES / R19-03</x:v>
      </x:c>
      <x:c r="B7" s="18" t="str">
        <x:v>Import et aperçu</x:v>
      </x:c>
      <x:c r="C7" s="18" t="str">
        <x:v>VALIDÉ LOCAL</x:v>
      </x:c>
      <x:c r="D7" s="18" t="str">
        <x:v>Version, limites, clés et empreintes contrôlées ; choix explicite des groupes.</x:v>
      </x:c>
      <x:c r="E7" s="18" t="str">
        <x:v>Tests négatifs et confirmation</x:v>
      </x:c>
      <x:c r="F7" s="18" t="str">
        <x:v>EN COURS</x:v>
      </x:c>
      <x:c r="G7" s="18" t="str">
        <x:v>Un JSON lisible ne certifie pas sa compatibilité avec chaque mode.</x:v>
      </x:c>
    </x:row>
    <x:row r="8" ht="64" customHeight="1">
      <x:c r="A8" s="14" t="str">
        <x:v>G-SAUVES / R19-04</x:v>
      </x:c>
      <x:c r="B8" s="14" t="str">
        <x:v>Copies alternées</x:v>
      </x:c>
      <x:c r="C8" s="14" t="str">
        <x:v>VALIDÉ LOCAL</x:v>
      </x:c>
      <x:c r="D8" s="14" t="str">
        <x:v>Les groupes choisis sont restaurés sans fusion ; absence explicite prévisualisée.</x:v>
      </x:c>
      <x:c r="E8" s="14" t="str">
        <x:v>Chargeur réel de Dossier et session contextuelle</x:v>
      </x:c>
      <x:c r="F8" s="14" t="str">
        <x:v>EN COURS</x:v>
      </x:c>
      <x:c r="G8" s="14" t="str">
        <x:v>Une archive doit rester liée à la version qui sait la charger.</x:v>
      </x:c>
    </x:row>
    <x:row r="9" ht="64" customHeight="1">
      <x:c r="A9" s="18" t="str">
        <x:v>G-SAUVES / R19-05</x:v>
      </x:c>
      <x:c r="B9" s="18" t="str">
        <x:v>Conflits et échecs</x:v>
      </x:c>
      <x:c r="C9" s="18" t="str">
        <x:v>VALIDÉ LOCAL</x:v>
      </x:c>
      <x:c r="D9" s="18" t="str">
        <x:v>Relecture avant écriture, retour contrôlé et copie de récupération.</x:v>
      </x:c>
      <x:c r="E9" s="18" t="str">
        <x:v>Quota, accès refusé, silence et modification extérieure injectés</x:v>
      </x:c>
      <x:c r="F9" s="18" t="str">
        <x:v>EN COURS</x:v>
      </x:c>
      <x:c r="G9" s="18" t="str">
        <x:v>Pas de transaction atomique inter-onglets ou après arrêt brutal.</x:v>
      </x:c>
    </x:row>
    <x:row r="10" ht="64" customHeight="1">
      <x:c r="A10" s="14" t="str">
        <x:v>G-REPLAYS / G-RECETTE / R19-06</x:v>
      </x:c>
      <x:c r="B10" s="14" t="str">
        <x:v>Centre natif et livraison</x:v>
      </x:c>
      <x:c r="C10" s="14" t="str">
        <x:v>À VALIDER HTTP</x:v>
      </x:c>
      <x:c r="D10" s="14" t="str">
        <x:v>Page liée au menu ; boutons, import, export et suivi Excel.</x:v>
      </x:c>
      <x:c r="E10" s="14" t="str">
        <x:v>Scénarios HTTP fournis ; état final dans rapport</x:v>
      </x:c>
      <x:c r="F10" s="14" t="str">
        <x:v>EN COURS</x:v>
      </x:c>
      <x:c r="G10" s="14" t="str">
        <x:v>Aucun test sur appareil physique ; aucun transfert cloud automatique.</x:v>
      </x:c>
    </x:row>
  </x:sheetData>
  <x:mergeCells>
    <x:mergeCell ref="A1:G2"/>
  </x:mergeCells>
  <x:dataValidations count="1">
    <x:dataValidation type="list" sqref="C5:C10">
      <x:formula1>"À FAIRE,VALIDÉ LOCAL,À VALIDER HTTP,VALIDÉ HTTP"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48" hidden="0" customWidth="1"/>
    <x:col min="4" max="4" width="24" hidden="0" customWidth="1"/>
    <x:col min="5" max="5" width="45" hidden="0" customWidth="1"/>
  </x:cols>
  <x:sheetData>
    <x:row r="1" ht="24" customHeight="1">
      <x:c r="A1" s="3" t="str">
        <x:v>R19 / CLÉS DU JEU</x:v>
      </x:c>
      <x:c r="B1" s="3"/>
      <x:c r="C1" s="3"/>
      <x:c r="D1" s="3"/>
      <x:c r="E1" s="3"/>
    </x:row>
    <x:row r="2" ht="24" customHeight="1">
      <x:c r="A2" s="3"/>
      <x:c r="B2" s="3"/>
      <x:c r="C2" s="3"/>
      <x:c r="D2" s="3"/>
      <x:c r="E2" s="3"/>
    </x:row>
    <x:row r="4" ht="32" customHeight="1">
      <x:c r="A4" s="8" t="str">
        <x:v>Groupe</x:v>
      </x:c>
      <x:c r="B4" s="8" t="str">
        <x:v>Mode</x:v>
      </x:c>
      <x:c r="C4" s="8" t="str">
        <x:v>Clé exacte</x:v>
      </x:c>
      <x:c r="D4" s="8" t="str">
        <x:v>Contenu</x:v>
      </x:c>
      <x:c r="E4" s="8" t="str">
        <x:v>Contrôle de restauration</x:v>
      </x:c>
    </x:row>
    <x:row r="5" ht="64" customHeight="1">
      <x:c r="A5" s="18" t="str">
        <x:v>dossiers</x:v>
      </x:c>
      <x:c r="B5" s="18" t="str">
        <x:v>Dossiers</x:v>
      </x:c>
      <x:c r="C5" s="18" t="str">
        <x:v>re.bow.chronicles055</x:v>
      </x:c>
      <x:c r="D5" s="18" t="str">
        <x:v>Ancienne copie</x:v>
      </x:c>
      <x:c r="E5" s="18" t="str">
        <x:v>Conservée brute</x:v>
      </x:c>
    </x:row>
    <x:row r="6" ht="64" customHeight="1">
      <x:c r="A6" s="14" t="str">
        <x:v>dossiers</x:v>
      </x:c>
      <x:c r="B6" s="14" t="str">
        <x:v>Dossiers</x:v>
      </x:c>
      <x:c r="C6" s="14" t="str">
        <x:v>re.bow.chronicles055.a</x:v>
      </x:c>
      <x:c r="D6" s="14" t="str">
        <x:v>Copie A</x:v>
      </x:c>
      <x:c r="E6" s="14" t="str">
        <x:v>Empreinte interne</x:v>
      </x:c>
    </x:row>
    <x:row r="7" ht="64" customHeight="1">
      <x:c r="A7" s="18" t="str">
        <x:v>dossiers</x:v>
      </x:c>
      <x:c r="B7" s="18" t="str">
        <x:v>Dossiers</x:v>
      </x:c>
      <x:c r="C7" s="18" t="str">
        <x:v>re.bow.chronicles055.b</x:v>
      </x:c>
      <x:c r="D7" s="18" t="str">
        <x:v>Copie B</x:v>
      </x:c>
      <x:c r="E7" s="18" t="str">
        <x:v>Empreinte interne</x:v>
      </x:c>
    </x:row>
    <x:row r="8" ht="64" customHeight="1">
      <x:c r="A8" s="14" t="str">
        <x:v>operations</x:v>
      </x:c>
      <x:c r="B8" s="14" t="str">
        <x:v>Opérations</x:v>
      </x:c>
      <x:c r="C8" s="14" t="str">
        <x:v>re.bow.operations.checkpoint/1.a</x:v>
      </x:c>
      <x:c r="D8" s="14" t="str">
        <x:v>Reprise A</x:v>
      </x:c>
      <x:c r="E8" s="14" t="str">
        <x:v>Empreinte interne</x:v>
      </x:c>
    </x:row>
    <x:row r="9" ht="64" customHeight="1">
      <x:c r="A9" s="18" t="str">
        <x:v>operations</x:v>
      </x:c>
      <x:c r="B9" s="18" t="str">
        <x:v>Opérations</x:v>
      </x:c>
      <x:c r="C9" s="18" t="str">
        <x:v>re.bow.operations.checkpoint/1.b</x:v>
      </x:c>
      <x:c r="D9" s="18" t="str">
        <x:v>Reprise B</x:v>
      </x:c>
      <x:c r="E9" s="18" t="str">
        <x:v>Empreinte interne</x:v>
      </x:c>
    </x:row>
    <x:row r="10" ht="64" customHeight="1">
      <x:c r="A10" s="14" t="str">
        <x:v>operations</x:v>
      </x:c>
      <x:c r="B10" s="14" t="str">
        <x:v>Opérations</x:v>
      </x:c>
      <x:c r="C10" s="14" t="str">
        <x:v>re.bow.operations.records/1</x:v>
      </x:c>
      <x:c r="D10" s="14" t="str">
        <x:v>Records</x:v>
      </x:c>
      <x:c r="E10" s="14" t="str">
        <x:v>Objet JSON</x:v>
      </x:c>
    </x:row>
    <x:row r="11" ht="64" customHeight="1">
      <x:c r="A11" s="18" t="str">
        <x:v>contexts</x:v>
      </x:c>
      <x:c r="B11" s="18" t="str">
        <x:v>Exercices</x:v>
      </x:c>
      <x:c r="C11" s="18" t="str">
        <x:v>re.bow.context-journal/1.a</x:v>
      </x:c>
      <x:c r="D11" s="18" t="str">
        <x:v>Session A</x:v>
      </x:c>
      <x:c r="E11" s="18" t="str">
        <x:v>Empreinte interne</x:v>
      </x:c>
    </x:row>
    <x:row r="12" ht="64" customHeight="1">
      <x:c r="A12" s="14" t="str">
        <x:v>contexts</x:v>
      </x:c>
      <x:c r="B12" s="14" t="str">
        <x:v>Exercices</x:v>
      </x:c>
      <x:c r="C12" s="14" t="str">
        <x:v>re.bow.context-journal/1.b</x:v>
      </x:c>
      <x:c r="D12" s="14" t="str">
        <x:v>Session B</x:v>
      </x:c>
      <x:c r="E12" s="14" t="str">
        <x:v>Empreinte interne</x:v>
      </x:c>
    </x:row>
    <x:row r="13" ht="64" customHeight="1">
      <x:c r="A13" s="18" t="str">
        <x:v>contexts</x:v>
      </x:c>
      <x:c r="B13" s="18" t="str">
        <x:v>Exercices</x:v>
      </x:c>
      <x:c r="C13" s="18" t="str">
        <x:v>re.bow.context-journal/1.records</x:v>
      </x:c>
      <x:c r="D13" s="18" t="str">
        <x:v>Records</x:v>
      </x:c>
      <x:c r="E13" s="18" t="str">
        <x:v>Empreinte interne</x:v>
      </x:c>
    </x:row>
    <x:row r="14" ht="64" customHeight="1">
      <x:c r="A14" s="14" t="str">
        <x:v>replays</x:v>
      </x:c>
      <x:c r="B14" s="14" t="str">
        <x:v>Replays</x:v>
      </x:c>
      <x:c r="C14" s="14" t="str">
        <x:v>re-bow-v048-replays</x:v>
      </x:c>
      <x:c r="D14" s="14" t="str">
        <x:v>Collection principale</x:v>
      </x:c>
      <x:c r="E14" s="14" t="str">
        <x:v>Tableau JSON ; version revalidée au chargement</x:v>
      </x:c>
    </x:row>
    <x:row r="15" ht="64" customHeight="1">
      <x:c r="A15" s="18" t="str">
        <x:v>conclusions</x:v>
      </x:c>
      <x:c r="B15" s="18" t="str">
        <x:v>Conclusions</x:v>
      </x:c>
      <x:c r="C15" s="18" t="str">
        <x:v>re-bow-v046-finishers</x:v>
      </x:c>
      <x:c r="D15" s="18" t="str">
        <x:v>Historique</x:v>
      </x:c>
      <x:c r="E15" s="18" t="str">
        <x:v>Objet JSON</x:v>
      </x:c>
    </x:row>
    <x:row r="16" ht="64" customHeight="1">
      <x:c r="A16" s="14" t="str">
        <x:v>conclusions</x:v>
      </x:c>
      <x:c r="B16" s="14" t="str">
        <x:v>Conclusions</x:v>
      </x:c>
      <x:c r="C16" s="14" t="str">
        <x:v>re-bow-v046-finisher-settings</x:v>
      </x:c>
      <x:c r="D16" s="14" t="str">
        <x:v>Réglages</x:v>
      </x:c>
      <x:c r="E16" s="14" t="str">
        <x:v>Objet JSON</x:v>
      </x:c>
    </x:row>
    <x:row r="17" ht="64" customHeight="1">
      <x:c r="A17" s="18" t="str">
        <x:v>controls</x:v>
      </x:c>
      <x:c r="B17" s="18" t="str">
        <x:v>Commandes</x:v>
      </x:c>
      <x:c r="C17" s="18" t="str">
        <x:v>re-bow-v048-bindings</x:v>
      </x:c>
      <x:c r="D17" s="18" t="str">
        <x:v>Clavier</x:v>
      </x:c>
      <x:c r="E17" s="18" t="str">
        <x:v>Objet JSON</x:v>
      </x:c>
    </x:row>
    <x:row r="18" ht="64" customHeight="1">
      <x:c r="A18" s="14" t="str">
        <x:v>dojo</x:v>
      </x:c>
      <x:c r="B18" s="14" t="str">
        <x:v>Dojo</x:v>
      </x:c>
      <x:c r="C18" s="14" t="str">
        <x:v>re-bow-v046-dojo</x:v>
      </x:c>
      <x:c r="D18" s="14" t="str">
        <x:v>Réglages actuels</x:v>
      </x:c>
      <x:c r="E18" s="14" t="str">
        <x:v>Objet JSON</x:v>
      </x:c>
    </x:row>
    <x:row r="19" ht="64" customHeight="1">
      <x:c r="A19" s="18" t="str">
        <x:v>dojo</x:v>
      </x:c>
      <x:c r="B19" s="18" t="str">
        <x:v>Dojo</x:v>
      </x:c>
      <x:c r="C19" s="18" t="str">
        <x:v>re-bow-v045-dojo</x:v>
      </x:c>
      <x:c r="D19" s="18" t="str">
        <x:v>Ancienne copie</x:v>
      </x:c>
      <x:c r="E19" s="18" t="str">
        <x:v>Objet JSON</x:v>
      </x:c>
    </x:row>
    <x:row r="20" ht="64" customHeight="1">
      <x:c r="A20" s="14" t="str">
        <x:v>dojo</x:v>
      </x:c>
      <x:c r="B20" s="14" t="str">
        <x:v>Dojo</x:v>
      </x:c>
      <x:c r="C20" s="14" t="str">
        <x:v>re-bow-v044-dojo</x:v>
      </x:c>
      <x:c r="D20" s="14" t="str">
        <x:v>Ancienne copie</x:v>
      </x:c>
      <x:c r="E20" s="14" t="str">
        <x:v>Objet JSON</x:v>
      </x:c>
    </x:row>
    <x:row r="21" ht="64" customHeight="1">
      <x:c r="A21" s="18" t="str">
        <x:v>dojo</x:v>
      </x:c>
      <x:c r="B21" s="18" t="str">
        <x:v>Dojo</x:v>
      </x:c>
      <x:c r="C21" s="18" t="str">
        <x:v>re-bow-v043-dojo</x:v>
      </x:c>
      <x:c r="D21" s="18" t="str">
        <x:v>Ancienne copie</x:v>
      </x:c>
      <x:c r="E21" s="18" t="str">
        <x:v>Objet JSON</x:v>
      </x:c>
    </x:row>
    <x:row r="22" ht="64" customHeight="1">
      <x:c r="A22" s="14" t="str">
        <x:v>audio</x:v>
      </x:c>
      <x:c r="B22" s="14" t="str">
        <x:v>Audio</x:v>
      </x:c>
      <x:c r="C22" s="14" t="str">
        <x:v>re.bow.audio058</x:v>
      </x:c>
      <x:c r="D22" s="14" t="str">
        <x:v>Volumes</x:v>
      </x:c>
      <x:c r="E22" s="14" t="str">
        <x:v>Objet JSON</x:v>
      </x:c>
    </x:row>
  </x:sheetData>
  <x:mergeCells>
    <x:mergeCell ref="A1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76" hidden="0" customWidth="1"/>
    <x:col min="3" max="3" width="14" hidden="0" customWidth="1"/>
    <x:col min="4" max="4" width="48" hidden="0" customWidth="1"/>
  </x:cols>
  <x:sheetData>
    <x:row r="1" ht="24" customHeight="1">
      <x:c r="A1" s="3" t="str">
        <x:v>R19 / VÉRIFICATIONS CIBLÉES</x:v>
      </x:c>
      <x:c r="B1" s="3"/>
      <x:c r="C1" s="3"/>
      <x:c r="D1" s="3"/>
    </x:row>
    <x:row r="2" ht="24" customHeight="1">
      <x:c r="A2" s="3"/>
      <x:c r="B2" s="3"/>
      <x:c r="C2" s="3"/>
      <x:c r="D2" s="3"/>
    </x:row>
    <x:row r="4" ht="32" customHeight="1">
      <x:c r="A4" s="8" t="str">
        <x:v>Nº</x:v>
      </x:c>
      <x:c r="B4" s="8" t="str">
        <x:v>Groupe testé</x:v>
      </x:c>
      <x:c r="C4" s="8" t="str">
        <x:v>Résultat</x:v>
      </x:c>
      <x:c r="D4" s="8" t="str">
        <x:v>Périmètre</x:v>
      </x:c>
    </x:row>
    <x:row r="5" ht="64" customHeight="1">
      <x:c r="A5" s="18" t="n">
        <x:v>1</x:v>
      </x:c>
      <x:c r="B5" s="18" t="str">
        <x:v>The registry contains exactly 18 persistent game keys in eight disjoint groups</x:v>
      </x:c>
      <x:c r="C5" s="18" t="str">
        <x:v>PASS</x:v>
      </x:c>
      <x:c r="D5" s="18" t="str">
        <x:v>Exécution locale / port Storage contrôlé ; HTTP distinct.</x:v>
      </x:c>
    </x:row>
    <x:row r="6" ht="64" customHeight="1">
      <x:c r="A6" s="14" t="n">
        <x:v>2</x:v>
      </x:c>
      <x:c r="B6" s="14" t="str">
        <x:v>Export reads only known keys and cannot include auth tokens or unrelated storage</x:v>
      </x:c>
      <x:c r="C6" s="14" t="str">
        <x:v>PASS</x:v>
      </x:c>
      <x:c r="D6" s="14" t="str">
        <x:v>Exécution locale / port Storage contrôlé ; HTTP distinct.</x:v>
      </x:c>
    </x:row>
    <x:row r="7" ht="64" customHeight="1">
      <x:c r="A7" s="18" t="n">
        <x:v>3</x:v>
      </x:c>
      <x:c r="B7" s="18" t="str">
        <x:v>Raw Unicode, whitespace, malformed copies and absence survive export byte-for-byte</x:v>
      </x:c>
      <x:c r="C7" s="18" t="str">
        <x:v>PASS</x:v>
      </x:c>
      <x:c r="D7" s="18" t="str">
        <x:v>Exécution locale / port Storage contrôlé ; HTTP distinct.</x:v>
      </x:c>
    </x:row>
    <x:row r="8" ht="64" customHeight="1">
      <x:c r="A8" s="14" t="n">
        <x:v>4</x:v>
      </x:c>
      <x:c r="B8" s="14" t="str">
        <x:v>Preview lists adds, replacements and removals but performs no write</x:v>
      </x:c>
      <x:c r="C8" s="14" t="str">
        <x:v>PASS</x:v>
      </x:c>
      <x:c r="D8" s="14" t="str">
        <x:v>Exécution locale / port Storage contrôlé ; HTTP distinct.</x:v>
      </x:c>
    </x:row>
    <x:row r="9" ht="64" customHeight="1">
      <x:c r="A9" s="18" t="n">
        <x:v>5</x:v>
      </x:c>
      <x:c r="B9" s="18" t="str">
        <x:v>A restoration requires both exact before-copy acknowledgement and explicit confirmation</x:v>
      </x:c>
      <x:c r="C9" s="18" t="str">
        <x:v>PASS</x:v>
      </x:c>
      <x:c r="D9" s="18" t="str">
        <x:v>Exécution locale / port Storage contrôlé ; HTTP distinct.</x:v>
      </x:c>
    </x:row>
    <x:row r="10" ht="64" customHeight="1">
      <x:c r="A10" s="14" t="n">
        <x:v>6</x:v>
      </x:c>
      <x:c r="B10" s="14" t="str">
        <x:v>Only selected groups change and old double slots cannot mask a restored revision</x:v>
      </x:c>
      <x:c r="C10" s="14" t="str">
        <x:v>PASS</x:v>
      </x:c>
      <x:c r="D10" s="14" t="str">
        <x:v>Exécution locale / port Storage contrôlé ; HTTP distinct.</x:v>
      </x:c>
    </x:row>
    <x:row r="11" ht="64" customHeight="1">
      <x:c r="A11" s="18" t="n">
        <x:v>7</x:v>
      </x:c>
      <x:c r="B11" s="18" t="str">
        <x:v>Whole-group preview refuses empty and damaged incoming groups without changing the target</x:v>
      </x:c>
      <x:c r="C11" s="18" t="str">
        <x:v>PASS</x:v>
      </x:c>
      <x:c r="D11" s="18" t="str">
        <x:v>Exécution locale / port Storage contrôlé ; HTTP distinct.</x:v>
      </x:c>
    </x:row>
    <x:row r="12" ht="64" customHeight="1">
      <x:c r="A12" s="14" t="n">
        <x:v>8</x:v>
      </x:c>
      <x:c r="B12" s="14" t="str">
        <x:v>Outer corruption, future format and damaged checksum are refused</x:v>
      </x:c>
      <x:c r="C12" s="14" t="str">
        <x:v>PASS</x:v>
      </x:c>
      <x:c r="D12" s="14" t="str">
        <x:v>Exécution locale / port Storage contrôlé ; HTTP distinct.</x:v>
      </x:c>
    </x:row>
    <x:row r="13" ht="64" customHeight="1">
      <x:c r="A13" s="18" t="n">
        <x:v>9</x:v>
      </x:c>
      <x:c r="B13" s="18" t="str">
        <x:v>Unknown, repeated, missing and extra keys are rejected even with a recomputed checksum</x:v>
      </x:c>
      <x:c r="C13" s="18" t="str">
        <x:v>PASS</x:v>
      </x:c>
      <x:c r="D13" s="18" t="str">
        <x:v>Exécution locale / port Storage contrôlé ; HTTP distinct.</x:v>
      </x:c>
    </x:row>
    <x:row r="14" ht="64" customHeight="1">
      <x:c r="A14" s="14" t="n">
        <x:v>10</x:v>
      </x:c>
      <x:c r="B14" s="14" t="str">
        <x:v>Invalid metadata or non-string raw values cannot be imported</x:v>
      </x:c>
      <x:c r="C14" s="14" t="str">
        <x:v>PASS</x:v>
      </x:c>
      <x:c r="D14" s="14" t="str">
        <x:v>Exécution locale / port Storage contrôlé ; HTTP distinct.</x:v>
      </x:c>
    </x:row>
    <x:row r="15" ht="64" customHeight="1">
      <x:c r="A15" s="18" t="n">
        <x:v>11</x:v>
      </x:c>
      <x:c r="B15" s="18" t="str">
        <x:v>Per-value and aggregate bounds reject oversize content before any restore</x:v>
      </x:c>
      <x:c r="C15" s="18" t="str">
        <x:v>PASS</x:v>
      </x:c>
      <x:c r="D15" s="18" t="str">
        <x:v>Exécution locale / port Storage contrôlé ; HTTP distinct.</x:v>
      </x:c>
    </x:row>
    <x:row r="16" ht="64" customHeight="1">
      <x:c r="A16" s="14" t="n">
        <x:v>12</x:v>
      </x:c>
      <x:c r="B16" s="14" t="str">
        <x:v>Internal checksums protect Dossier, Operations and contextual paired copies</x:v>
      </x:c>
      <x:c r="C16" s="14" t="str">
        <x:v>PASS</x:v>
      </x:c>
      <x:c r="D16" s="14" t="str">
        <x:v>Exécution locale / port Storage contrôlé ; HTTP distinct.</x:v>
      </x:c>
    </x:row>
    <x:row r="17" ht="64" customHeight="1">
      <x:c r="A17" s="18" t="n">
        <x:v>13</x:v>
      </x:c>
      <x:c r="B17" s="18" t="str">
        <x:v>A read denied by the browser cannot be misreported as an empty valid backup</x:v>
      </x:c>
      <x:c r="C17" s="18" t="str">
        <x:v>PASS</x:v>
      </x:c>
      <x:c r="D17" s="18" t="str">
        <x:v>Exécution locale / port Storage contrôlé ; HTTP distinct.</x:v>
      </x:c>
    </x:row>
    <x:row r="18" ht="64" customHeight="1">
      <x:c r="A18" s="14" t="n">
        <x:v>14</x:v>
      </x:c>
      <x:c r="B18" s="14" t="str">
        <x:v>A change after preview refuses restoration before the first write</x:v>
      </x:c>
      <x:c r="C18" s="14" t="str">
        <x:v>PASS</x:v>
      </x:c>
      <x:c r="D18" s="14" t="str">
        <x:v>Exécution locale / port Storage contrôlé ; HTTP distinct.</x:v>
      </x:c>
    </x:row>
    <x:row r="19" ht="64" customHeight="1">
      <x:c r="A19" s="18" t="n">
        <x:v>15</x:v>
      </x:c>
      <x:c r="B19" s="18" t="str">
        <x:v>A quota failure on the second key rolls back the first without losing old data</x:v>
      </x:c>
      <x:c r="C19" s="18" t="str">
        <x:v>PASS</x:v>
      </x:c>
      <x:c r="D19" s="18" t="str">
        <x:v>Exécution locale / port Storage contrôlé ; HTTP distinct.</x:v>
      </x:c>
    </x:row>
    <x:row r="20" ht="64" customHeight="1">
      <x:c r="A20" s="14" t="n">
        <x:v>16</x:v>
      </x:c>
      <x:c r="B20" s="14" t="str">
        <x:v>A silent failed write is detected and the first write is rolled back</x:v>
      </x:c>
      <x:c r="C20" s="14" t="str">
        <x:v>PASS</x:v>
      </x:c>
      <x:c r="D20" s="14" t="str">
        <x:v>Exécution locale / port Storage contrôlé ; HTTP distinct.</x:v>
      </x:c>
    </x:row>
    <x:row r="21" ht="64" customHeight="1">
      <x:c r="A21" s="18" t="n">
        <x:v>17</x:v>
      </x:c>
      <x:c r="B21" s="18" t="str">
        <x:v>A persistent rollback failure exposes exact recovery data instead of claiming success</x:v>
      </x:c>
      <x:c r="C21" s="18" t="str">
        <x:v>PASS</x:v>
      </x:c>
      <x:c r="D21" s="18" t="str">
        <x:v>Exécution locale / port Storage contrôlé ; HTTP distinct.</x:v>
      </x:c>
    </x:row>
    <x:row r="22" ht="64" customHeight="1">
      <x:c r="A22" s="14" t="n">
        <x:v>18</x:v>
      </x:c>
      <x:c r="B22" s="14" t="str">
        <x:v>An external writer during restoration is never overwritten by rollback</x:v>
      </x:c>
      <x:c r="C22" s="14" t="str">
        <x:v>PASS</x:v>
      </x:c>
      <x:c r="D22" s="14" t="str">
        <x:v>Exécution locale / port Storage contrôlé ; HTTP distinct.</x:v>
      </x:c>
    </x:row>
    <x:row r="23" ht="64" customHeight="1">
      <x:c r="A23" s="18" t="n">
        <x:v>19</x:v>
      </x:c>
      <x:c r="B23" s="18" t="str">
        <x:v>Cancelled, fake, reused and cross-instance previews cannot be applied</x:v>
      </x:c>
      <x:c r="C23" s="18" t="str">
        <x:v>PASS</x:v>
      </x:c>
      <x:c r="D23" s="18" t="str">
        <x:v>Exécution locale / port Storage contrôlé ; HTTP distinct.</x:v>
      </x:c>
    </x:row>
    <x:row r="24" ht="64" customHeight="1">
      <x:c r="A24" s="14" t="n">
        <x:v>20</x:v>
      </x:c>
      <x:c r="B24" s="14" t="str">
        <x:v>Selectors reject unknown groups and duplicates; preview metadata is immutable</x:v>
      </x:c>
      <x:c r="C24" s="14" t="str">
        <x:v>PASS</x:v>
      </x:c>
      <x:c r="D24" s="14" t="str">
        <x:v>Exécution locale / port Storage contrôlé ; HTTP distinct.</x:v>
      </x:c>
    </x:row>
    <x:row r="25" ht="64" customHeight="1">
      <x:c r="A25" s="18" t="n">
        <x:v>21</x:v>
      </x:c>
      <x:c r="B25" s="18" t="str">
        <x:v>A real Dossier profile round-trips and remains validated by its existing loader</x:v>
      </x:c>
      <x:c r="C25" s="18" t="str">
        <x:v>PASS</x:v>
      </x:c>
      <x:c r="D25" s="18" t="str">
        <x:v>Exécution locale / port Storage contrôlé ; HTTP distinct.</x:v>
      </x:c>
    </x:row>
    <x:row r="26" ht="64" customHeight="1">
      <x:c r="A26" s="14" t="n">
        <x:v>22</x:v>
      </x:c>
      <x:c r="B26" s="14" t="str">
        <x:v>A real contextual checkpoint round-trips with identical restored state and records</x:v>
      </x:c>
      <x:c r="C26" s="14" t="str">
        <x:v>PASS</x:v>
      </x:c>
      <x:c r="D26" s="14" t="str">
        <x:v>Exécution locale / port Storage contrôlé ; HTTP distinct.</x:v>
      </x:c>
    </x:row>
    <x:row r="27" ht="64" customHeight="1">
      <x:c r="A27" s="18" t="n">
        <x:v>23</x:v>
      </x:c>
      <x:c r="B27" s="18" t="str">
        <x:v>All 18 keys, including older dojo copies, round-trip without parsing or reformatting values</x:v>
      </x:c>
      <x:c r="C27" s="18" t="str">
        <x:v>PASS</x:v>
      </x:c>
      <x:c r="D27" s="18" t="str">
        <x:v>Exécution locale / port Storage contrôlé ; HTTP distinct.</x:v>
      </x:c>
    </x:row>
    <x:row r="28" ht="64" customHeight="1">
      <x:c r="A28" s="14" t="n">
        <x:v>24</x:v>
      </x:c>
      <x:c r="B28" s="14" t="str">
        <x:v>New page is linked, included in the static build and has no remote upload code</x:v>
      </x:c>
      <x:c r="C28" s="14" t="str">
        <x:v>PASS</x:v>
      </x:c>
      <x:c r="D28" s="14" t="str">
        <x:v>Exécution locale / port Storage contrôlé ; HTTP distinct.</x:v>
      </x:c>
    </x:row>
    <x:row r="29" ht="64" customHeight="1">
      <x:c r="A29" s="18" t="n">
        <x:v>25</x:v>
      </x:c>
      <x:c r="B29" s="18" t="str">
        <x:v>Combat, existing mode loaders, assets and all prior workbooks are byte-for-byte preserved</x:v>
      </x:c>
      <x:c r="C29" s="18" t="str">
        <x:v>PASS</x:v>
      </x:c>
      <x:c r="D29" s="18" t="str">
        <x:v>Exécution locale / port Storage contrôlé ; HTTP distinct.</x:v>
      </x:c>
    </x:row>
  </x:sheetData>
  <x:mergeCells>
    <x:mergeCell ref="A1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8" hidden="0" customWidth="1"/>
    <x:col min="3" max="3" width="66" hidden="0" customWidth="1"/>
    <x:col min="4" max="4" width="66" hidden="0" customWidth="1"/>
  </x:cols>
  <x:sheetData>
    <x:row r="1" ht="24" customHeight="1">
      <x:c r="A1" s="3" t="str">
        <x:v>R19 / SOURCES ET LIMITES</x:v>
      </x:c>
      <x:c r="B1" s="3"/>
      <x:c r="C1" s="3"/>
      <x:c r="D1" s="3"/>
    </x:row>
    <x:row r="2" ht="24" customHeight="1">
      <x:c r="A2" s="3"/>
      <x:c r="B2" s="3"/>
      <x:c r="C2" s="3"/>
      <x:c r="D2" s="3"/>
    </x:row>
    <x:row r="4" ht="32" customHeight="1">
      <x:c r="A4" s="8" t="str">
        <x:v>Type</x:v>
      </x:c>
      <x:c r="B4" s="8" t="str">
        <x:v>Référence</x:v>
      </x:c>
      <x:c r="C4" s="8" t="str">
        <x:v>URL / chemin</x:v>
      </x:c>
      <x:c r="D4" s="8" t="str">
        <x:v>Portée</x:v>
      </x:c>
    </x:row>
    <x:row r="5" ht="64" customHeight="1">
      <x:c r="A5" s="18" t="str">
        <x:v>Code de base</x:v>
      </x:c>
      <x:c r="B5" s="18" t="str">
        <x:v>Dépôt / commit R18</x:v>
      </x:c>
      <x:c r="C5" s="18" t="str">
        <x:v>https://github.com/darknigthmare/resident-evil-bow-protocol/tree/f9dcf65c0b147be5942aba82ffbab738147d0481</x:v>
      </x:c>
      <x:c r="D5" s="18" t="str">
        <x:v>Noms de clés et chargeurs existants ; aucun nouveau geste de combat.</x:v>
      </x:c>
    </x:row>
    <x:row r="6" ht="64" customHeight="1">
      <x:c r="A6" s="14" t="str">
        <x:v>Plan P1</x:v>
      </x:c>
      <x:c r="B6" s="14" t="str">
        <x:v>Matrice R8 · G-SAUVES</x:v>
      </x:c>
      <x:c r="C6" s="14" t="str">
        <x:v>docs/planning/BOW_PR11_MATRICE_EXECUTION_R8.xlsx</x:v>
      </x:c>
      <x:c r="D6" s="14" t="str">
        <x:v>Critère : données anciennes préservées, essais séparés, import vérifié.</x:v>
      </x:c>
    </x:row>
    <x:row r="7" ht="64" customHeight="1">
      <x:c r="A7" s="18" t="str">
        <x:v>API navigateur</x:v>
      </x:c>
      <x:c r="B7" s="18" t="str">
        <x:v>MDN Web Storage</x:v>
      </x:c>
      <x:c r="C7" s="18" t="str">
        <x:v>https://developer.mozilla.org/en-US/docs/Web/API/Web_Storage_API</x:v>
      </x:c>
      <x:c r="D7" s="18" t="str">
        <x:v>Stockage par origine ; copie locale non équivalente à sauvegarde cloud.</x:v>
      </x:c>
    </x:row>
    <x:row r="8" ht="64" customHeight="1">
      <x:c r="A8" s="14" t="str">
        <x:v>Autres onglets</x:v>
      </x:c>
      <x:c r="B8" s="14" t="str">
        <x:v>MDN storage event</x:v>
      </x:c>
      <x:c r="C8" s="14" t="str">
        <x:v>https://developer.mozilla.org/en-US/docs/Web/API/Window/storage_event</x:v>
      </x:c>
      <x:c r="D8" s="14" t="str">
        <x:v>Notification des autres documents ; ne fournit pas de transaction.</x:v>
      </x:c>
    </x:row>
    <x:row r="9" ht="64" customHeight="1">
      <x:c r="A9" s="18" t="str">
        <x:v>QA exécutée locale</x:v>
      </x:c>
      <x:c r="B9" s="18" t="str">
        <x:v>JSON ciblé</x:v>
      </x:c>
      <x:c r="C9" s="18" t="str">
        <x:v>docs/SAVES_R19_TESTS.json</x:v>
      </x:c>
      <x:c r="D9" s="18" t="str">
        <x:v>25 groupes avec erreurs de Storage injectées ; chargeurs réels Dossier/contexte.</x:v>
      </x:c>
    </x:row>
    <x:row r="10" ht="64" customHeight="1">
      <x:c r="A10" s="14" t="str">
        <x:v>QA navigateur</x:v>
      </x:c>
      <x:c r="B10" s="14" t="str">
        <x:v>Scénarios HTTP</x:v>
      </x:c>
      <x:c r="C10" s="14" t="str">
        <x:v>tests/browser-save-center-r19.mjs</x:v>
      </x:c>
      <x:c r="D10" s="14" t="str">
        <x:v>Résultat final séparé dans rapport ; navigateur local bloqué par sa politique.</x:v>
      </x:c>
    </x:row>
  </x:sheetData>
  <x:mergeCells>
    <x:mergeCell ref="A1:D2"/>
  </x:mergeCells>
  <x:pageMargins left="0.7" right="0.7" top="0.75" bottom="0.75" header="0.3" footer="0.3"/>
</x:worksheet>
</file>