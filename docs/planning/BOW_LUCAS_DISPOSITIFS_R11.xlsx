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3d04c21a14b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7c2cd4113e414515"/>
    <x:sheet xmlns:r="http://schemas.openxmlformats.org/officeDocument/2006/relationships" name="10_Commandes" sheetId="2" r:id="Rf65f575469ef4ddb"/>
    <x:sheet xmlns:r="http://schemas.openxmlformats.org/officeDocument/2006/relationships" name="Preuves" sheetId="3" r:id="Rb95ea123406c42fc"/>
    <x:sheet xmlns:r="http://schemas.openxmlformats.org/officeDocument/2006/relationships" name="Sources_et_limites" sheetId="4" r:id="R16525556f5f943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243A3A"/>
      <x:name val="Carlito"/>
    </x:font>
    <x:font>
      <x:b/>
      <x:sz val="10"/>
      <x:color rgb="FFFFFFFF"/>
      <x:name val="Carlito"/>
    </x:font>
    <x:font>
      <x:sz val="11"/>
      <x:color rgb="FF243A3A"/>
      <x:name val="Aptos"/>
    </x:font>
    <x:font>
      <x:b/>
      <x:sz val="19"/>
      <x:color rgb="FFFFFFFF"/>
      <x:name val="Aptos"/>
    </x:font>
    <x:font>
      <x:b/>
      <x:sz val="10"/>
      <x:color rgb="FFFFFFFF"/>
      <x:name val="Aptos"/>
    </x:font>
    <x:font>
      <x:b/>
      <x:sz val="27"/>
      <x:color rgb="FF31594E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82D32"/>
      </x:patternFill>
    </x:fill>
    <x:fill>
      <x:patternFill patternType="solid">
        <x:fgColor rgb="FFF3E4BD"/>
      </x:patternFill>
    </x:fill>
    <x:fill>
      <x:patternFill patternType="solid">
        <x:fgColor rgb="FF31594E"/>
      </x:patternFill>
    </x:fill>
    <x:fill>
      <x:patternFill patternType="solid">
        <x:fgColor rgb="FFEAF0EC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2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6" fillId="4" borderId="0" xfId="0" applyNumberFormat="1" applyFont="1" applyFill="1" applyBorder="1"/>
    <x:xf numFmtId="0" fontId="4" fillId="4" borderId="1" xfId="0" applyNumberFormat="1" applyFont="1" applyFill="1" applyBorder="1"/>
    <x:xf numFmtId="0" fontId="6" fillId="4" borderId="1" xfId="0" applyNumberFormat="1" applyFont="1" applyFill="1" applyBorder="1"/>
    <x:xf numFmtId="0" fontId="4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DBEB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fbd74f59224b07" /><Relationship Type="http://schemas.openxmlformats.org/officeDocument/2006/relationships/theme" Target="/xl/theme/theme1.xml" Id="R464fa4c4dd0c467c" /><Relationship Type="http://schemas.openxmlformats.org/officeDocument/2006/relationships/sharedStrings" Target="/xl/sharedStrings.xml" Id="R9e840a050cbc4de4" /><Relationship Type="http://schemas.openxmlformats.org/officeDocument/2006/relationships/worksheet" Target="/xl/worksheets/sheet1.xml" Id="R7c2cd4113e414515" /><Relationship Type="http://schemas.openxmlformats.org/officeDocument/2006/relationships/worksheet" Target="/xl/worksheets/sheet2.xml" Id="Rf65f575469ef4ddb" /><Relationship Type="http://schemas.openxmlformats.org/officeDocument/2006/relationships/worksheet" Target="/xl/worksheets/sheet3.xml" Id="Rb95ea123406c42fc" /><Relationship Type="http://schemas.openxmlformats.org/officeDocument/2006/relationships/worksheet" Target="/xl/worksheets/sheet4.xml" Id="R16525556f5f943e0" /></Relationships>
</file>

<file path=xl/tables/table1.xml><?xml version="1.0" encoding="utf-8"?>
<x:table xmlns:x="http://schemas.openxmlformats.org/spreadsheetml/2006/main" id="1" name="T_10_Commandes" displayName="T_10_Commandes" ref="A6:N16" headerRowCount="1" totalsRowCount="0" totalsRowShown="0">
  <x:tableColumns count="14">
    <x:tableColumn id="1" name="Entrée"/>
    <x:tableColumn id="2" name="Nom avant"/>
    <x:tableColumn id="3" name="Type avant"/>
    <x:tableColumn id="4" name="Nom R11"/>
    <x:tableColumn id="5" name="Type R11"/>
    <x:tableColumn id="6" name="Coût"/>
    <x:tableColumn id="7" name="Jauge"/>
    <x:tableColumn id="8" name="Départ ticks"/>
    <x:tableColumn id="9" name="Armement ticks"/>
    <x:tableColumn id="10" name="Rayon moteur"/>
    <x:tableColumn id="11" name="Validation technique"/>
    <x:tableColumn id="12" name="Niveau de preuve"/>
    <x:tableColumn id="13" name="Effet et contre-jeu"/>
    <x:tableColumn id="14" name="Lot P1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Preuves" displayName="T_Preuves" ref="A6:E28" headerRowCount="1" totalsRowCount="0" totalsRowShown="0">
  <x:tableColumns count="5">
    <x:tableColumn id="1" name="N°"/>
    <x:tableColumn id="2" name="Contrôle"/>
    <x:tableColumn id="3" name="Résultat"/>
    <x:tableColumn id="4" name="Nature"/>
    <x:tableColumn id="5" name="Mesure / détai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Sources_et_limites" displayName="T_Sources_et_limites" ref="A6:F14" headerRowCount="1" totalsRowCount="0" totalsRowShown="0">
  <x:tableColumns count="6">
    <x:tableColumn id="1" name="Type"/>
    <x:tableColumn id="2" name="Objet"/>
    <x:tableColumn id="3" name="URL / chemin"/>
    <x:tableColumn id="4" name="Lecture / état"/>
    <x:tableColumn id="5" name="Limite"/>
    <x:tableColumn id="6" name="Sui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7497310c1c47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c24c7b86294c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c36955741747c2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29" t="str">
        <x:v>B.O.W. PROTOCOL / R11 — RÉSEAU DE LUCAS</x:v>
      </x:c>
      <x:c r="B1" s="29"/>
      <x:c r="C1" s="29"/>
      <x:c r="D1" s="29"/>
      <x:c r="E1" s="29"/>
      <x:c r="F1" s="29"/>
      <x:c r="G1" s="29"/>
      <x:c r="H1" s="29"/>
    </x:row>
    <x:row r="2" ht="24" customHeight="1">
      <x:c r="A2" s="29"/>
      <x:c r="B2" s="29"/>
      <x:c r="C2" s="29"/>
      <x:c r="D2" s="29"/>
      <x:c r="E2" s="29"/>
      <x:c r="F2" s="29"/>
      <x:c r="G2" s="29"/>
      <x:c r="H2" s="29"/>
    </x:row>
    <x:row r="3" ht="24" customHeight="1">
      <x:c r="A3" s="34" t="str">
        <x:v>19 octobre 2026 · Première passe de mécanismes par personnage, sur main après R10. Les gestes restent des adaptations originales, pas un répertoire Capcom certifié.</x:v>
      </x:c>
      <x:c r="B3" s="34"/>
      <x:c r="C3" s="34"/>
      <x:c r="D3" s="34"/>
      <x:c r="E3" s="34"/>
      <x:c r="F3" s="34"/>
      <x:c r="G3" s="34"/>
      <x:c r="H3" s="34"/>
    </x:row>
    <x:row r="4" ht="24" customHeight="1">
      <x:c r="A4" s="34"/>
      <x:c r="B4" s="34"/>
      <x:c r="C4" s="34"/>
      <x:c r="D4" s="34"/>
      <x:c r="E4" s="34"/>
      <x:c r="F4" s="34"/>
      <x:c r="G4" s="34"/>
      <x:c r="H4" s="34"/>
    </x:row>
    <x:row r="5" ht="24" customHeight="1">
      <x:c r="A5" s="26"/>
      <x:c r="B5" s="26"/>
      <x:c r="C5" s="26"/>
      <x:c r="D5" s="26"/>
      <x:c r="E5" s="26"/>
      <x:c r="F5" s="26"/>
      <x:c r="G5" s="26"/>
      <x:c r="H5" s="26"/>
    </x:row>
    <x:row r="6" ht="24" customHeight="1">
      <x:c r="A6" s="39" t="str">
        <x:v>COMMANDES TRAITÉES</x:v>
      </x:c>
      <x:c r="B6" s="39"/>
      <x:c r="C6" s="39"/>
      <x:c r="D6" s="26"/>
      <x:c r="E6" s="39" t="str">
        <x:v>TESTS CIBLÉS RÉUSSIS</x:v>
      </x:c>
      <x:c r="F6" s="39"/>
      <x:c r="G6" s="39"/>
      <x:c r="H6" s="39"/>
    </x:row>
    <x:row r="7" ht="24" customHeight="1">
      <x:c r="A7" s="45" t="n">
        <x:f>COUNTA('10_Commandes'!A7:A16)</x:f>
        <x:v>10</x:v>
      </x:c>
      <x:c r="B7" s="45"/>
      <x:c r="C7" s="45"/>
      <x:c r="D7" s="26"/>
      <x:c r="E7" s="45" t="n">
        <x:f>COUNTIF(Preuves!C7:C28,"PASS")</x:f>
        <x:v>22</x:v>
      </x:c>
      <x:c r="F7" s="45"/>
      <x:c r="G7" s="45"/>
      <x:c r="H7" s="45"/>
    </x:row>
    <x:row r="8" ht="24" customHeight="1">
      <x:c r="A8" s="45"/>
      <x:c r="B8" s="45"/>
      <x:c r="C8" s="45"/>
      <x:c r="D8" s="26"/>
      <x:c r="E8" s="45"/>
      <x:c r="F8" s="45"/>
      <x:c r="G8" s="45"/>
      <x:c r="H8" s="45"/>
    </x:row>
    <x:row r="9" ht="24" customHeight="1">
      <x:c r="A9" s="26"/>
      <x:c r="B9" s="26"/>
      <x:c r="C9" s="26"/>
      <x:c r="D9" s="26"/>
      <x:c r="E9" s="26"/>
      <x:c r="F9" s="26"/>
      <x:c r="G9" s="26"/>
      <x:c r="H9" s="26"/>
    </x:row>
    <x:row r="10" ht="24" customHeight="1">
      <x:c r="A10" s="39" t="str">
        <x:v>GESTES 1:1 CERTIFIÉS</x:v>
      </x:c>
      <x:c r="B10" s="39"/>
      <x:c r="C10" s="39"/>
      <x:c r="D10" s="26"/>
      <x:c r="E10" s="39" t="str">
        <x:v>COMMANDES EN SIMULATION</x:v>
      </x:c>
      <x:c r="F10" s="39"/>
      <x:c r="G10" s="39"/>
      <x:c r="H10" s="39"/>
    </x:row>
    <x:row r="11" ht="24" customHeight="1">
      <x:c r="A11" s="45" t="n">
        <x:f>COUNTIF('10_Commandes'!L7:L16,"Canonique validé")</x:f>
        <x:v>0</x:v>
      </x:c>
      <x:c r="B11" s="45"/>
      <x:c r="C11" s="45"/>
      <x:c r="D11" s="26"/>
      <x:c r="E11" s="45" t="n">
        <x:f>COUNTIF('10_Commandes'!L7:L16,"Simulation")</x:f>
        <x:v>10</x:v>
      </x:c>
      <x:c r="F11" s="45"/>
      <x:c r="G11" s="45"/>
      <x:c r="H11" s="45"/>
    </x:row>
    <x:row r="12" ht="24" customHeight="1">
      <x:c r="A12" s="45"/>
      <x:c r="B12" s="45"/>
      <x:c r="C12" s="45"/>
      <x:c r="D12" s="26"/>
      <x:c r="E12" s="45"/>
      <x:c r="F12" s="45"/>
      <x:c r="G12" s="45"/>
      <x:c r="H12" s="45"/>
    </x:row>
    <x:row r="13" ht="24" customHeight="1">
      <x:c r="A13" s="26"/>
      <x:c r="B13" s="26"/>
      <x:c r="C13" s="26"/>
      <x:c r="D13" s="26"/>
      <x:c r="E13" s="26"/>
      <x:c r="F13" s="26"/>
      <x:c r="G13" s="26"/>
      <x:c r="H13" s="26"/>
    </x:row>
    <x:row r="14" ht="24" customHeight="1">
      <x:c r="A14" s="51" t="str">
        <x:v>FERMÉ TECHNIQUEMENT : bombe poison remplacée par pose/détonation ; faux fil et baril de mêlée remplacés par dispositifs ; utilitaire sans soin ; super à charges visibles.</x:v>
      </x:c>
      <x:c r="B14" s="51"/>
      <x:c r="C14" s="51"/>
      <x:c r="D14" s="51"/>
      <x:c r="E14" s="51"/>
      <x:c r="F14" s="51"/>
      <x:c r="G14" s="51"/>
      <x:c r="H14" s="51"/>
    </x:row>
    <x:row r="15" ht="24" customHeight="1">
      <x:c r="A15" s="51"/>
      <x:c r="B15" s="51"/>
      <x:c r="C15" s="51"/>
      <x:c r="D15" s="51"/>
      <x:c r="E15" s="51"/>
      <x:c r="F15" s="51"/>
      <x:c r="G15" s="51"/>
      <x:c r="H15" s="51"/>
    </x:row>
    <x:row r="16" ht="24" customHeight="1">
      <x:c r="A16" s="26"/>
      <x:c r="B16" s="26"/>
      <x:c r="C16" s="26"/>
      <x:c r="D16" s="26"/>
      <x:c r="E16" s="26"/>
      <x:c r="F16" s="26"/>
      <x:c r="G16" s="26"/>
      <x:c r="H16" s="26"/>
    </x:row>
    <x:row r="17" ht="24" customHeight="1">
      <x:c r="A17" s="56" t="str">
        <x:v>PRÉSERVÉ : 114 autres profils principaux, 231 prototypes, mutation de Lucas, 508 ressources et journal contextuel. Pas de nouveau dessin de personnage.</x:v>
      </x:c>
      <x:c r="B17" s="56"/>
      <x:c r="C17" s="56"/>
      <x:c r="D17" s="56"/>
      <x:c r="E17" s="56"/>
      <x:c r="F17" s="56"/>
      <x:c r="G17" s="56"/>
      <x:c r="H17" s="56"/>
    </x:row>
    <x:row r="18" ht="24" customHeight="1">
      <x:c r="A18" s="56"/>
      <x:c r="B18" s="56"/>
      <x:c r="C18" s="56"/>
      <x:c r="D18" s="56"/>
      <x:c r="E18" s="56"/>
      <x:c r="F18" s="56"/>
      <x:c r="G18" s="56"/>
      <x:c r="H18" s="56"/>
    </x:row>
    <x:row r="19" ht="24" customHeight="1">
      <x:c r="A19" s="26"/>
      <x:c r="B19" s="26"/>
      <x:c r="C19" s="26"/>
      <x:c r="D19" s="26"/>
      <x:c r="E19" s="26"/>
      <x:c r="F19" s="26"/>
      <x:c r="G19" s="26"/>
      <x:c r="H19" s="26"/>
    </x:row>
    <x:row r="20" ht="24" customHeight="1">
      <x:c r="A20" s="51" t="str">
        <x:v>À FAIRE : relever les séquences originales par édition, produire les deux orientations, les animations, les voix, l’intro/outro et les conclusions spécifiques.</x:v>
      </x:c>
      <x:c r="B20" s="51"/>
      <x:c r="C20" s="51"/>
      <x:c r="D20" s="51"/>
      <x:c r="E20" s="51"/>
      <x:c r="F20" s="51"/>
      <x:c r="G20" s="51"/>
      <x:c r="H20" s="51"/>
    </x:row>
    <x:row r="21" ht="24" customHeight="1">
      <x:c r="A21" s="51"/>
      <x:c r="B21" s="51"/>
      <x:c r="C21" s="51"/>
      <x:c r="D21" s="51"/>
      <x:c r="E21" s="51"/>
      <x:c r="F21" s="51"/>
      <x:c r="G21" s="51"/>
      <x:c r="H21" s="51"/>
    </x:row>
    <x:row r="22" ht="24" customHeight="1">
      <x:c r="A22" s="26"/>
      <x:c r="B22" s="26"/>
      <x:c r="C22" s="26"/>
      <x:c r="D22" s="26"/>
      <x:c r="E22" s="26"/>
      <x:c r="F22" s="26"/>
      <x:c r="G22" s="26"/>
      <x:c r="H22" s="26"/>
    </x:row>
    <x:row r="23" ht="24" customHeight="1">
      <x:c r="A23" s="56" t="str">
        <x:v>PR / CI : cette feuille conserve les résultats locaux de préparation. Le manifeste et le workflow de la nouvelle PR indiquent le commit exact et les résultats finaux.</x:v>
      </x:c>
      <x:c r="B23" s="56"/>
      <x:c r="C23" s="56"/>
      <x:c r="D23" s="56"/>
      <x:c r="E23" s="56"/>
      <x:c r="F23" s="56"/>
      <x:c r="G23" s="56"/>
      <x:c r="H23" s="56"/>
    </x:row>
    <x:row r="24" ht="24" customHeight="1">
      <x:c r="A24" s="56"/>
      <x:c r="B24" s="56"/>
      <x:c r="C24" s="56"/>
      <x:c r="D24" s="56"/>
      <x:c r="E24" s="56"/>
      <x:c r="F24" s="56"/>
      <x:c r="G24" s="56"/>
      <x:c r="H24" s="56"/>
    </x:row>
    <x:row r="25" ht="24" customHeight="1">
      <x:c r="A25" s="26"/>
      <x:c r="B25" s="26"/>
      <x:c r="C25" s="26"/>
      <x:c r="D25" s="26"/>
      <x:c r="E25" s="26"/>
      <x:c r="F25" s="26"/>
      <x:c r="G25" s="26"/>
      <x:c r="H25" s="26"/>
    </x:row>
    <x:row r="26" ht="24" customHeight="1">
      <x:c r="A26" s="56" t="str">
        <x:v>BASE : b8b47ee78b80015263f10303781ae2566eb27699. Les classeurs P1/R8/R9/R10 restent distincts, sans lot global artificiellement clôturé.</x:v>
      </x:c>
      <x:c r="B26" s="56"/>
      <x:c r="C26" s="56"/>
      <x:c r="D26" s="56"/>
      <x:c r="E26" s="56"/>
      <x:c r="F26" s="56"/>
      <x:c r="G26" s="56"/>
      <x:c r="H26" s="56"/>
    </x:row>
    <x:row r="27" ht="24" customHeight="1">
      <x:c r="A27" s="56"/>
      <x:c r="B27" s="56"/>
      <x:c r="C27" s="56"/>
      <x:c r="D27" s="56"/>
      <x:c r="E27" s="56"/>
      <x:c r="F27" s="56"/>
      <x:c r="G27" s="56"/>
      <x:c r="H27" s="56"/>
    </x:row>
    <x:row r="28" ht="24" customHeight="1">
      <x:c r="A28" s="26"/>
      <x:c r="B28" s="26"/>
      <x:c r="C28" s="26"/>
      <x:c r="D28" s="26"/>
      <x:c r="E28" s="26"/>
      <x:c r="F28" s="26"/>
      <x:c r="G28" s="26"/>
      <x:c r="H28" s="26"/>
    </x:row>
    <x:row r="29" ht="24" customHeight="1">
      <x:c r="A29" s="26"/>
      <x:c r="B29" s="26"/>
      <x:c r="C29" s="26"/>
      <x:c r="D29" s="26"/>
      <x:c r="E29" s="26"/>
      <x:c r="F29" s="26"/>
      <x:c r="G29" s="26"/>
      <x:c r="H29" s="26"/>
    </x:row>
  </x:sheetData>
  <x:mergeCells>
    <x:mergeCell ref="A1:H2"/>
    <x:mergeCell ref="A3:H4"/>
    <x:mergeCell ref="A6:C6"/>
    <x:mergeCell ref="A7:C8"/>
    <x:mergeCell ref="E6:H6"/>
    <x:mergeCell ref="E7:H8"/>
    <x:mergeCell ref="A10:C10"/>
    <x:mergeCell ref="A11:C12"/>
    <x:mergeCell ref="E10:H10"/>
    <x:mergeCell ref="E11:H12"/>
    <x:mergeCell ref="A14:H15"/>
    <x:mergeCell ref="A17:H18"/>
    <x:mergeCell ref="A20:H21"/>
    <x:mergeCell ref="A23:H24"/>
    <x:mergeCell ref="A26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7" hidden="0" customWidth="1"/>
    <x:col min="4" max="4" width="35" hidden="0" customWidth="1"/>
    <x:col min="5" max="5" width="17" hidden="0" customWidth="1"/>
    <x:col min="6" max="6" width="10" hidden="0" customWidth="1"/>
    <x:col min="7" max="7" width="10" hidden="0" customWidth="1"/>
    <x:col min="8" max="8" width="14" hidden="0" customWidth="1"/>
    <x:col min="9" max="9" width="15" hidden="0" customWidth="1"/>
    <x:col min="10" max="10" width="14" hidden="0" customWidth="1"/>
    <x:col min="11" max="11" width="23" hidden="0" customWidth="1"/>
    <x:col min="12" max="12" width="20" hidden="0" customWidth="1"/>
    <x:col min="13" max="13" width="60" hidden="0" customWidth="1"/>
    <x:col min="14" max="14" width="40" hidden="0" customWidth="1"/>
  </x:cols>
  <x:sheetData>
    <x:row r="1" ht="23" customHeight="1">
      <x:c r="A1" s="3" t="str">
        <x:v>LUCAS HUMAIN / AVANT → R11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3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4" customHeight="1">
      <x:c r="A3" s="9" t="str">
        <x:v>Paramètres du moteur et gestes originaux de simulation. Aucune durée ou technique du jeu source n’est certifiée ici.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4" ht="24" customHeight="1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</x:row>
    <x:row r="6" ht="30" customHeight="1">
      <x:c r="A6" s="16" t="str">
        <x:v>Entrée</x:v>
      </x:c>
      <x:c r="B6" s="16" t="str">
        <x:v>Nom avant</x:v>
      </x:c>
      <x:c r="C6" s="16" t="str">
        <x:v>Type avant</x:v>
      </x:c>
      <x:c r="D6" s="16" t="str">
        <x:v>Nom R11</x:v>
      </x:c>
      <x:c r="E6" s="16" t="str">
        <x:v>Type R11</x:v>
      </x:c>
      <x:c r="F6" s="16" t="str">
        <x:v>Coût</x:v>
      </x:c>
      <x:c r="G6" s="16" t="str">
        <x:v>Jauge</x:v>
      </x:c>
      <x:c r="H6" s="16" t="str">
        <x:v>Départ ticks</x:v>
      </x:c>
      <x:c r="I6" s="16" t="str">
        <x:v>Armement ticks</x:v>
      </x:c>
      <x:c r="J6" s="16" t="str">
        <x:v>Rayon moteur</x:v>
      </x:c>
      <x:c r="K6" s="16" t="str">
        <x:v>Validation technique</x:v>
      </x:c>
      <x:c r="L6" s="16" t="str">
        <x:v>Niveau de preuve</x:v>
      </x:c>
      <x:c r="M6" s="16" t="str">
        <x:v>Effet et contre-jeu</x:v>
      </x:c>
      <x:c r="N6" s="16" t="str">
        <x:v>Lot P1</x:v>
      </x:c>
    </x:row>
    <x:row r="7" ht="78" customHeight="1">
      <x:c r="A7" s="22" t="str">
        <x:v>light</x:v>
      </x:c>
      <x:c r="B7" s="22" t="str">
        <x:v>Coup de clé</x:v>
      </x:c>
      <x:c r="C7" s="22" t="str">
        <x:v>melee</x:v>
      </x:c>
      <x:c r="D7" s="22" t="str">
        <x:v>Coup de clé — simulation</x:v>
      </x:c>
      <x:c r="E7" s="22" t="str">
        <x:v>melee</x:v>
      </x:c>
      <x:c r="F7" s="22" t="n">
        <x:v>0</x:v>
      </x:c>
      <x:c r="G7" s="22" t="n">
        <x:v>0</x:v>
      </x:c>
      <x:c r="H7" s="22" t="n">
        <x:v>7</x:v>
      </x:c>
      <x:c r="I7" s="22" t="n">
        <x:v>0</x:v>
      </x:c>
      <x:c r="J7" s="22" t="n">
        <x:v>0</x:v>
      </x:c>
      <x:c r="K7" s="22" t="str">
        <x:v>TEST LOCAL PASS</x:v>
      </x:c>
      <x:c r="L7" s="22" t="str">
        <x:v>Simulation</x:v>
      </x:c>
      <x:c r="M7" s="22" t="str">
        <x:v>Garder puis punir la récupération ; la prise contourne une garde passive.</x:v>
      </x:c>
      <x:c r="N7" s="22" t="str">
        <x:v>F-re7-lucas-baker-MOV</x:v>
      </x:c>
    </x:row>
    <x:row r="8" ht="78" customHeight="1">
      <x:c r="A8" s="22" t="str">
        <x:v>heavy</x:v>
      </x:c>
      <x:c r="B8" s="22" t="str">
        <x:v>Bombe artisanale</x:v>
      </x:c>
      <x:c r="C8" s="22" t="str">
        <x:v>melee</x:v>
      </x:c>
      <x:c r="D8" s="22" t="str">
        <x:v>Lancer de charge — simulation</x:v>
      </x:c>
      <x:c r="E8" s="22" t="str">
        <x:v>projectile</x:v>
      </x:c>
      <x:c r="F8" s="22" t="n">
        <x:v>10</x:v>
      </x:c>
      <x:c r="G8" s="22" t="n">
        <x:v>0</x:v>
      </x:c>
      <x:c r="H8" s="22" t="n">
        <x:v>16</x:v>
      </x:c>
      <x:c r="I8" s="22" t="n">
        <x:v>0</x:v>
      </x:c>
      <x:c r="J8" s="22" t="n">
        <x:v>145</x:v>
      </x:c>
      <x:c r="K8" s="22" t="str">
        <x:v>TEST LOCAL PASS</x:v>
      </x:c>
      <x:c r="L8" s="22" t="str">
        <x:v>Simulation</x:v>
      </x:c>
      <x:c r="M8" s="22" t="str">
        <x:v>Charge projetée visible ; sa mèche de 40 ticks produit une seule explosion. Éloignez-vous du point de chute.</x:v>
      </x:c>
      <x:c r="N8" s="22" t="str">
        <x:v>F-re7-lucas-baker-MOV</x:v>
      </x:c>
    </x:row>
    <x:row r="9" ht="78" customHeight="1">
      <x:c r="A9" s="22" t="str">
        <x:v>low</x:v>
      </x:c>
      <x:c r="B9" s="22" t="str">
        <x:v>Fil-piège bas</x:v>
      </x:c>
      <x:c r="C9" s="22" t="str">
        <x:v>melee</x:v>
      </x:c>
      <x:c r="D9" s="22" t="str">
        <x:v>Balayage défensif — simulation</x:v>
      </x:c>
      <x:c r="E9" s="22" t="str">
        <x:v>melee</x:v>
      </x:c>
      <x:c r="F9" s="22" t="n">
        <x:v>0</x:v>
      </x:c>
      <x:c r="G9" s="22" t="n">
        <x:v>0</x:v>
      </x:c>
      <x:c r="H9" s="22" t="n">
        <x:v>12</x:v>
      </x:c>
      <x:c r="I9" s="22" t="n">
        <x:v>0</x:v>
      </x:c>
      <x:c r="J9" s="22" t="n">
        <x:v>0</x:v>
      </x:c>
      <x:c r="K9" s="22" t="str">
        <x:v>TEST LOCAL PASS</x:v>
      </x:c>
      <x:c r="L9" s="22" t="str">
        <x:v>Simulation</x:v>
      </x:c>
      <x:c r="M9" s="22" t="str">
        <x:v>Garde basse ou saut ; la garde haute ne suffit pas.</x:v>
      </x:c>
      <x:c r="N9" s="22" t="str">
        <x:v>F-re7-lucas-baker-MOV</x:v>
      </x:c>
    </x:row>
    <x:row r="10" ht="78" customHeight="1">
      <x:c r="A10" s="22" t="str">
        <x:v>throw</x:v>
      </x:c>
      <x:c r="B10" s="22" t="str">
        <x:v>Saisie du technicien</x:v>
      </x:c>
      <x:c r="C10" s="22" t="str">
        <x:v>melee</x:v>
      </x:c>
      <x:c r="D10" s="22" t="str">
        <x:v>Saisie du technicien</x:v>
      </x:c>
      <x:c r="E10" s="22" t="str">
        <x:v>melee</x:v>
      </x:c>
      <x:c r="F10" s="22" t="n">
        <x:v>0</x:v>
      </x:c>
      <x:c r="G10" s="22" t="n">
        <x:v>0</x:v>
      </x:c>
      <x:c r="H10" s="22" t="n">
        <x:v>9</x:v>
      </x:c>
      <x:c r="I10" s="22" t="n">
        <x:v>0</x:v>
      </x:c>
      <x:c r="J10" s="22" t="n">
        <x:v>0</x:v>
      </x:c>
      <x:c r="K10" s="22" t="str">
        <x:v>TEST LOCAL PASS</x:v>
      </x:c>
      <x:c r="L10" s="22" t="str">
        <x:v>Simulation</x:v>
      </x:c>
      <x:c r="M10" s="22" t="str">
        <x:v>Reculer ou déchoper avant la fermeture des bras.</x:v>
      </x:c>
      <x:c r="N10" s="22" t="str">
        <x:v>F-re7-lucas-baker-MOV</x:v>
      </x:c>
    </x:row>
    <x:row r="11" ht="78" customHeight="1">
      <x:c r="A11" s="22" t="str">
        <x:v>special</x:v>
      </x:c>
      <x:c r="B11" s="22" t="str">
        <x:v>Bombe télécommandée</x:v>
      </x:c>
      <x:c r="C11" s="22" t="str">
        <x:v>projectile</x:v>
      </x:c>
      <x:c r="D11" s="22" t="str">
        <x:v>Charge télécommandée — pose</x:v>
      </x:c>
      <x:c r="E11" s="22" t="str">
        <x:v>trap</x:v>
      </x:c>
      <x:c r="F11" s="22" t="n">
        <x:v>24</x:v>
      </x:c>
      <x:c r="G11" s="22" t="n">
        <x:v>0</x:v>
      </x:c>
      <x:c r="H11" s="22" t="n">
        <x:v>31</x:v>
      </x:c>
      <x:c r="I11" s="22" t="n">
        <x:v>30</x:v>
      </x:c>
      <x:c r="J11" s="22" t="n">
        <x:v>150</x:v>
      </x:c>
      <x:c r="K11" s="22" t="str">
        <x:v>TEST LOCAL PASS</x:v>
      </x:c>
      <x:c r="L11" s="22" t="str">
        <x:v>Simulation</x:v>
      </x:c>
      <x:c r="M11" s="22" t="str">
        <x:v>La pose ne blesse pas. Armement après 30 ticks ; UTILITAIRE déclenche uniquement vos charges télécommandées armées.</x:v>
      </x:c>
      <x:c r="N11" s="22" t="str">
        <x:v>F-re7-lucas-baker-MOV</x:v>
      </x:c>
    </x:row>
    <x:row r="12" ht="78" customHeight="1">
      <x:c r="A12" s="22" t="str">
        <x:v>specialDown</x:v>
      </x:c>
      <x:c r="B12" s="22" t="str">
        <x:v>Piège à câble</x:v>
      </x:c>
      <x:c r="C12" s="22" t="str">
        <x:v>melee</x:v>
      </x:c>
      <x:c r="D12" s="22" t="str">
        <x:v>Fil-piège — pose</x:v>
      </x:c>
      <x:c r="E12" s="22" t="str">
        <x:v>trap</x:v>
      </x:c>
      <x:c r="F12" s="22" t="n">
        <x:v>22</x:v>
      </x:c>
      <x:c r="G12" s="22" t="n">
        <x:v>0</x:v>
      </x:c>
      <x:c r="H12" s="22" t="n">
        <x:v>21</x:v>
      </x:c>
      <x:c r="I12" s="22" t="n">
        <x:v>35</x:v>
      </x:c>
      <x:c r="J12" s="22" t="n">
        <x:v>135</x:v>
      </x:c>
      <x:c r="K12" s="22" t="str">
        <x:v>TEST LOCAL PASS</x:v>
      </x:c>
      <x:c r="L12" s="22" t="str">
        <x:v>Simulation</x:v>
      </x:c>
      <x:c r="M12" s="22" t="str">
        <x:v>Le fil bas détecte un passage au sol après armement. Sauter au-dessus ou détruire le boîtier au corps à corps. Explosion bloquable selon les règles de garde du prototype.</x:v>
      </x:c>
      <x:c r="N12" s="22" t="str">
        <x:v>F-re7-lucas-baker-MOV</x:v>
      </x:c>
    </x:row>
    <x:row r="13" ht="78" customHeight="1">
      <x:c r="A13" s="22" t="str">
        <x:v>specialForward</x:v>
      </x:c>
      <x:c r="B13" s="22" t="str">
        <x:v>Baril piégé</x:v>
      </x:c>
      <x:c r="C13" s="22" t="str">
        <x:v>melee</x:v>
      </x:c>
      <x:c r="D13" s="22" t="str">
        <x:v>Caisse piégée — pose</x:v>
      </x:c>
      <x:c r="E13" s="22" t="str">
        <x:v>trap</x:v>
      </x:c>
      <x:c r="F13" s="22" t="n">
        <x:v>23</x:v>
      </x:c>
      <x:c r="G13" s="22" t="n">
        <x:v>0</x:v>
      </x:c>
      <x:c r="H13" s="22" t="n">
        <x:v>26</x:v>
      </x:c>
      <x:c r="I13" s="22" t="n">
        <x:v>48</x:v>
      </x:c>
      <x:c r="J13" s="22" t="n">
        <x:v>160</x:v>
      </x:c>
      <x:c r="K13" s="22" t="str">
        <x:v>TEST LOCAL PASS</x:v>
      </x:c>
      <x:c r="L13" s="22" t="str">
        <x:v>Simulation</x:v>
      </x:c>
      <x:c r="M13" s="22" t="str">
        <x:v>La caisse attend son armement et une cible proche au sol. Détruire le boîtier ou rester hors zone.</x:v>
      </x:c>
      <x:c r="N13" s="22" t="str">
        <x:v>F-re7-lucas-baker-MOV</x:v>
      </x:c>
    </x:row>
    <x:row r="14" ht="78" customHeight="1">
      <x:c r="A14" s="22" t="str">
        <x:v>specialBack</x:v>
      </x:c>
      <x:c r="B14" s="22" t="str">
        <x:v>Trappe de maintenance</x:v>
      </x:c>
      <x:c r="C14" s="22" t="str">
        <x:v>mobility</x:v>
      </x:c>
      <x:c r="D14" s="22" t="str">
        <x:v>Repli du technicien</x:v>
      </x:c>
      <x:c r="E14" s="22" t="str">
        <x:v>mobility</x:v>
      </x:c>
      <x:c r="F14" s="22" t="n">
        <x:v>13</x:v>
      </x:c>
      <x:c r="G14" s="22" t="n">
        <x:v>0</x:v>
      </x:c>
      <x:c r="H14" s="22" t="n">
        <x:v>5</x:v>
      </x:c>
      <x:c r="I14" s="22" t="n">
        <x:v>0</x:v>
      </x:c>
      <x:c r="J14" s="22" t="n">
        <x:v>0</x:v>
      </x:c>
      <x:c r="K14" s="22" t="str">
        <x:v>TEST LOCAL PASS</x:v>
      </x:c>
      <x:c r="L14" s="22" t="str">
        <x:v>Simulation</x:v>
      </x:c>
      <x:c r="M14" s="22" t="str">
        <x:v>Recul sans téléportation, soin ni trappe de décor inventée.</x:v>
      </x:c>
      <x:c r="N14" s="22" t="str">
        <x:v>F-re7-lucas-baker-MOV</x:v>
      </x:c>
    </x:row>
    <x:row r="15" ht="78" customHeight="1">
      <x:c r="A15" s="22" t="str">
        <x:v>super</x:v>
      </x:c>
      <x:c r="B15" s="22" t="str">
        <x:v>Protocole Happy Birthday</x:v>
      </x:c>
      <x:c r="C15" s="22" t="str">
        <x:v>projectile</x:v>
      </x:c>
      <x:c r="D15" s="22" t="str">
        <x:v>Réseau à retardement — simulation</x:v>
      </x:c>
      <x:c r="E15" s="22" t="str">
        <x:v>trap</x:v>
      </x:c>
      <x:c r="F15" s="22" t="n">
        <x:v>0</x:v>
      </x:c>
      <x:c r="G15" s="22" t="n">
        <x:v>50</x:v>
      </x:c>
      <x:c r="H15" s="22" t="n">
        <x:v>34</x:v>
      </x:c>
      <x:c r="I15" s="22" t="n">
        <x:v>45</x:v>
      </x:c>
      <x:c r="J15" s="22" t="n">
        <x:v>140</x:v>
      </x:c>
      <x:c r="K15" s="22" t="str">
        <x:v>TEST LOCAL PASS</x:v>
      </x:c>
      <x:c r="L15" s="22" t="str">
        <x:v>Simulation</x:v>
      </x:c>
      <x:c r="M15" s="22" t="str">
        <x:v>Trois charges visibles, bornées par le même quota global ; mèches échelonnées. Se déplacer hors des zones ou détruire les boîtiers avant la détonation.</x:v>
      </x:c>
      <x:c r="N15" s="22" t="str">
        <x:v>F-re7-lucas-baker-SUP</x:v>
      </x:c>
    </x:row>
    <x:row r="16" ht="78" customHeight="1">
      <x:c r="A16" s="22" t="str">
        <x:v>utility</x:v>
      </x:c>
      <x:c r="B16" s="22" t="str">
        <x:v>Détour du système</x:v>
      </x:c>
      <x:c r="C16" s="22" t="str">
        <x:v>heal</x:v>
      </x:c>
      <x:c r="D16" s="22" t="str">
        <x:v>Mise à feu des charges armées</x:v>
      </x:c>
      <x:c r="E16" s="22" t="str">
        <x:v>detonate</x:v>
      </x:c>
      <x:c r="F16" s="22" t="n">
        <x:v>0</x:v>
      </x:c>
      <x:c r="G16" s="22" t="n">
        <x:v>0</x:v>
      </x:c>
      <x:c r="H16" s="22" t="n">
        <x:v>12</x:v>
      </x:c>
      <x:c r="I16" s="22" t="n">
        <x:v>0</x:v>
      </x:c>
      <x:c r="J16" s="22" t="n">
        <x:v>0</x:v>
      </x:c>
      <x:c r="K16" s="22" t="str">
        <x:v>TEST LOCAL PASS</x:v>
      </x:c>
      <x:c r="L16" s="22" t="str">
        <x:v>Simulation</x:v>
      </x:c>
      <x:c r="M16" s="22" t="str">
        <x:v>Sans charge télécommandée armée, la commande ne crée aucun dégât ni soin et ne coûte pas de ressource. Les autres types de dispositifs ne sont pas déclenchés.</x:v>
      </x:c>
      <x:c r="N16" s="22" t="str">
        <x:v>F-re7-lucas-baker-MOV</x:v>
      </x:c>
    </x:row>
  </x:sheetData>
  <x:mergeCells>
    <x:mergeCell ref="A1:N2"/>
    <x:mergeCell ref="A3:N4"/>
  </x:mergeCells>
  <x:conditionalFormatting sqref="K7:K16">
    <x:cfRule type="expression" dxfId="0" priority="1">
      <x:formula>K7="TEST LOCAL PASS"</x:formula>
    </x:cfRule>
  </x:conditionalFormatting>
  <x:dataValidations count="1">
    <x:dataValidation type="list" sqref="K7:K16">
      <x:formula1>"TEST LOCAL PASS,À REVALIDER,À CORRIGER"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7497310c1c472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75" hidden="0" customWidth="1"/>
    <x:col min="3" max="3" width="13" hidden="0" customWidth="1"/>
    <x:col min="4" max="4" width="40" hidden="0" customWidth="1"/>
    <x:col min="5" max="5" width="50" hidden="0" customWidth="1"/>
  </x:cols>
  <x:sheetData>
    <x:row r="1" ht="23" customHeight="1">
      <x:c r="A1" s="3" t="str">
        <x:v>VÉRIFICATIONS REPRODUCTIBLES</x:v>
      </x:c>
      <x:c r="B1" s="3"/>
      <x:c r="C1" s="3"/>
      <x:c r="D1" s="3"/>
      <x:c r="E1" s="3"/>
    </x:row>
    <x:row r="2" ht="23" customHeight="1">
      <x:c r="A2" s="3"/>
      <x:c r="B2" s="3"/>
      <x:c r="C2" s="3"/>
      <x:c r="D2" s="3"/>
      <x:c r="E2" s="3"/>
    </x:row>
    <x:row r="3" ht="24" customHeight="1">
      <x:c r="A3" s="9" t="str">
        <x:v>22 groupes ciblés exécutés localement. Le workflow et le rapport du commit publié établissent séparément la réussite finale en CI.</x:v>
      </x:c>
      <x:c r="B3" s="9"/>
      <x:c r="C3" s="9"/>
      <x:c r="D3" s="9"/>
      <x:c r="E3" s="9"/>
    </x:row>
    <x:row r="4" ht="24" customHeight="1">
      <x:c r="A4" s="9"/>
      <x:c r="B4" s="9"/>
      <x:c r="C4" s="9"/>
      <x:c r="D4" s="9"/>
      <x:c r="E4" s="9"/>
    </x:row>
    <x:row r="6" ht="30" customHeight="1">
      <x:c r="A6" s="16" t="str">
        <x:v>N°</x:v>
      </x:c>
      <x:c r="B6" s="16" t="str">
        <x:v>Contrôle</x:v>
      </x:c>
      <x:c r="C6" s="16" t="str">
        <x:v>Résultat</x:v>
      </x:c>
      <x:c r="D6" s="16" t="str">
        <x:v>Nature</x:v>
      </x:c>
      <x:c r="E6" s="16" t="str">
        <x:v>Mesure / détail</x:v>
      </x:c>
    </x:row>
    <x:row r="7" ht="46" customHeight="1">
      <x:c r="A7" s="22" t="str">
        <x:v>1</x:v>
      </x:c>
      <x:c r="B7" s="22" t="str">
        <x:v>Only human Lucas changes; all other 345 combat definitions and art are preserved</x:v>
      </x:c>
      <x:c r="C7" s="22" t="str">
        <x:v>PASS</x:v>
      </x:c>
      <x:c r="D7" s="22" t="str">
        <x:v>Moteur réel / cas préparés déclarés</x:v>
      </x:c>
      <x:c r="E7" s="22" t="str">
        <x:v>{"mainPreserved": 114, "annexPreserved": 231}</x:v>
      </x:c>
    </x:row>
    <x:row r="8" ht="46" customHeight="1">
      <x:c r="A8" s="22" t="str">
        <x:v>2</x:v>
      </x:c>
      <x:c r="B8" s="22" t="str">
        <x:v>Ten actions are classified as simulation, with human/mutated variants strictly separate</x:v>
      </x:c>
      <x:c r="C8" s="22" t="str">
        <x:v>PASS</x:v>
      </x:c>
      <x:c r="D8" s="22" t="str">
        <x:v>Moteur réel / cas préparés déclarés</x:v>
      </x:c>
      <x:c r="E8" s="22" t="str">
        <x:v>{}</x:v>
      </x:c>
    </x:row>
    <x:row r="9" ht="46" customHeight="1">
      <x:c r="A9" s="22" t="str">
        <x:v>3</x:v>
      </x:c>
      <x:c r="B9" s="22" t="str">
        <x:v>All ten commands still activate through startup with resources paid exactly once</x:v>
      </x:c>
      <x:c r="C9" s="22" t="str">
        <x:v>PASS</x:v>
      </x:c>
      <x:c r="D9" s="22" t="str">
        <x:v>Moteur réel / cas préparés déclarés</x:v>
      </x:c>
      <x:c r="E9" s="22" t="str">
        <x:v>{}</x:v>
      </x:c>
    </x:row>
    <x:row r="10" ht="46" customHeight="1">
      <x:c r="A10" s="22" t="str">
        <x:v>4</x:v>
      </x:c>
      <x:c r="B10" s="22" t="str">
        <x:v>Remote placement causes no immediate damage and arms only after its stated delay</x:v>
      </x:c>
      <x:c r="C10" s="22" t="str">
        <x:v>PASS</x:v>
      </x:c>
      <x:c r="D10" s="22" t="str">
        <x:v>Moteur réel / cas préparés déclarés</x:v>
      </x:c>
      <x:c r="E10" s="22" t="str">
        <x:v>{}</x:v>
      </x:c>
    </x:row>
    <x:row r="11" ht="46" customHeight="1">
      <x:c r="A11" s="22" t="str">
        <x:v>5</x:v>
      </x:c>
      <x:c r="B11" s="22" t="str">
        <x:v>Manual detonation triggers the owned armed charge once, not poison or healing</x:v>
      </x:c>
      <x:c r="C11" s="22" t="str">
        <x:v>PASS</x:v>
      </x:c>
      <x:c r="D11" s="22" t="str">
        <x:v>Moteur réel / cas préparés déclarés</x:v>
      </x:c>
      <x:c r="E11" s="22" t="str">
        <x:v>{}</x:v>
      </x:c>
    </x:row>
    <x:row r="12" ht="46" customHeight="1">
      <x:c r="A12" s="22" t="str">
        <x:v>6</x:v>
      </x:c>
      <x:c r="B12" s="22" t="str">
        <x:v>An empty detonator gives an explicit message with no resource cost or artificial blast</x:v>
      </x:c>
      <x:c r="C12" s="22" t="str">
        <x:v>PASS</x:v>
      </x:c>
      <x:c r="D12" s="22" t="str">
        <x:v>Moteur réel / cas préparés déclarés</x:v>
      </x:c>
      <x:c r="E12" s="22" t="str">
        <x:v>{}</x:v>
      </x:c>
    </x:row>
    <x:row r="13" ht="46" customHeight="1">
      <x:c r="A13" s="22" t="str">
        <x:v>7</x:v>
      </x:c>
      <x:c r="B13" s="22" t="str">
        <x:v>Detonation before arming neither consumes nor explodes a charge</x:v>
      </x:c>
      <x:c r="C13" s="22" t="str">
        <x:v>PASS</x:v>
      </x:c>
      <x:c r="D13" s="22" t="str">
        <x:v>Moteur réel / cas préparés déclarés</x:v>
      </x:c>
      <x:c r="E13" s="22" t="str">
        <x:v>{}</x:v>
      </x:c>
    </x:row>
    <x:row r="14" ht="46" customHeight="1">
      <x:c r="A14" s="22" t="str">
        <x:v>8</x:v>
      </x:c>
      <x:c r="B14" s="22" t="str">
        <x:v>Remote activation cannot trigger another owner or a non-remote device</x:v>
      </x:c>
      <x:c r="C14" s="22" t="str">
        <x:v>PASS</x:v>
      </x:c>
      <x:c r="D14" s="22" t="str">
        <x:v>Moteur réel / cas préparés déclarés</x:v>
      </x:c>
      <x:c r="E14" s="22" t="str">
        <x:v>{}</x:v>
      </x:c>
    </x:row>
    <x:row r="15" ht="46" customHeight="1">
      <x:c r="A15" s="22" t="str">
        <x:v>9</x:v>
      </x:c>
      <x:c r="B15" s="22" t="str">
        <x:v>The fourth charge retires the oldest instead of exceeding the global capacity</x:v>
      </x:c>
      <x:c r="C15" s="22" t="str">
        <x:v>PASS</x:v>
      </x:c>
      <x:c r="D15" s="22" t="str">
        <x:v>Moteur réel / cas préparés déclarés</x:v>
      </x:c>
      <x:c r="E15" s="22" t="str">
        <x:v>{}</x:v>
      </x:c>
    </x:row>
    <x:row r="16" ht="46" customHeight="1">
      <x:c r="A16" s="22" t="str">
        <x:v>10</x:v>
      </x:c>
      <x:c r="B16" s="22" t="str">
        <x:v>Super creates three visible charges, then three distinct timed blasts</x:v>
      </x:c>
      <x:c r="C16" s="22" t="str">
        <x:v>PASS</x:v>
      </x:c>
      <x:c r="D16" s="22" t="str">
        <x:v>Moteur réel / cas préparés déclarés</x:v>
      </x:c>
      <x:c r="E16" s="22" t="str">
        <x:v>{}</x:v>
      </x:c>
    </x:row>
    <x:row r="17" ht="46" customHeight="1">
      <x:c r="A17" s="22" t="str">
        <x:v>11</x:v>
      </x:c>
      <x:c r="B17" s="22" t="str">
        <x:v>A super shares the same three-object budget with the previously deployed network</x:v>
      </x:c>
      <x:c r="C17" s="22" t="str">
        <x:v>PASS</x:v>
      </x:c>
      <x:c r="D17" s="22" t="str">
        <x:v>Moteur réel / cas préparés déclarés</x:v>
      </x:c>
      <x:c r="E17" s="22" t="str">
        <x:v>{}</x:v>
      </x:c>
    </x:row>
    <x:row r="18" ht="46" customHeight="1">
      <x:c r="A18" s="22" t="str">
        <x:v>12</x:v>
      </x:c>
      <x:c r="B18" s="22" t="str">
        <x:v>Wire catches a fast low crossing in either direction without a skipped contact</x:v>
      </x:c>
      <x:c r="C18" s="22" t="str">
        <x:v>PASS</x:v>
      </x:c>
      <x:c r="D18" s="22" t="str">
        <x:v>Moteur réel / cas préparés déclarés</x:v>
      </x:c>
      <x:c r="E18" s="22" t="str">
        <x:v>{}</x:v>
      </x:c>
    </x:row>
    <x:row r="19" ht="46" customHeight="1">
      <x:c r="A19" s="22" t="str">
        <x:v>13</x:v>
      </x:c>
      <x:c r="B19" s="22" t="str">
        <x:v>A jump over a wire is allowed; landing within its zone can trigger it</x:v>
      </x:c>
      <x:c r="C19" s="22" t="str">
        <x:v>PASS</x:v>
      </x:c>
      <x:c r="D19" s="22" t="str">
        <x:v>Moteur réel / cas préparés déclarés</x:v>
      </x:c>
      <x:c r="E19" s="22" t="str">
        <x:v>{}</x:v>
      </x:c>
    </x:row>
    <x:row r="20" ht="46" customHeight="1">
      <x:c r="A20" s="22" t="str">
        <x:v>14</x:v>
      </x:c>
      <x:c r="B20" s="22" t="str">
        <x:v>Proximity crate waits for arming and explodes only at nearby ground contact</x:v>
      </x:c>
      <x:c r="C20" s="22" t="str">
        <x:v>PASS</x:v>
      </x:c>
      <x:c r="D20" s="22" t="str">
        <x:v>Moteur réel / cas préparés déclarés</x:v>
      </x:c>
      <x:c r="E20" s="22" t="str">
        <x:v>{}</x:v>
      </x:c>
    </x:row>
    <x:row r="21" ht="46" customHeight="1">
      <x:c r="A21" s="22" t="str">
        <x:v>15</x:v>
      </x:c>
      <x:c r="B21" s="22" t="str">
        <x:v>Enemy melee can destroy a remote charge before the activation command</x:v>
      </x:c>
      <x:c r="C21" s="22" t="str">
        <x:v>PASS</x:v>
      </x:c>
      <x:c r="D21" s="22" t="str">
        <x:v>Moteur réel / cas préparés déclarés</x:v>
      </x:c>
      <x:c r="E21" s="22" t="str">
        <x:v>{}</x:v>
      </x:c>
    </x:row>
    <x:row r="22" ht="46" customHeight="1">
      <x:c r="A22" s="22" t="str">
        <x:v>16</x:v>
      </x:c>
      <x:c r="B22" s="22" t="str">
        <x:v>Interrupted setup never spawns a device and never refunds the committed cost</x:v>
      </x:c>
      <x:c r="C22" s="22" t="str">
        <x:v>PASS</x:v>
      </x:c>
      <x:c r="D22" s="22" t="str">
        <x:v>Moteur réel / cas préparés déclarés</x:v>
      </x:c>
      <x:c r="E22" s="22" t="str">
        <x:v>{}</x:v>
      </x:c>
    </x:row>
    <x:row r="23" ht="46" customHeight="1">
      <x:c r="A23" s="22" t="str">
        <x:v>17</x:v>
      </x:c>
      <x:c r="B23" s="22" t="str">
        <x:v>Owner KO, round transition and reset clear the deployed network</x:v>
      </x:c>
      <x:c r="C23" s="22" t="str">
        <x:v>PASS</x:v>
      </x:c>
      <x:c r="D23" s="22" t="str">
        <x:v>Moteur réel / cas préparés déclarés</x:v>
      </x:c>
      <x:c r="E23" s="22" t="str">
        <x:v>{}</x:v>
      </x:c>
    </x:row>
    <x:row r="24" ht="46" customHeight="1">
      <x:c r="A24" s="22" t="str">
        <x:v>18</x:v>
      </x:c>
      <x:c r="B24" s="22" t="str">
        <x:v>Remote charges expire without an explosion, and no future round inherits them</x:v>
      </x:c>
      <x:c r="C24" s="22" t="str">
        <x:v>PASS</x:v>
      </x:c>
      <x:c r="D24" s="22" t="str">
        <x:v>Moteur réel / cas préparés déclarés</x:v>
      </x:c>
      <x:c r="E24" s="22" t="str">
        <x:v>{}</x:v>
      </x:c>
    </x:row>
    <x:row r="25" ht="46" customHeight="1">
      <x:c r="A25" s="22" t="str">
        <x:v>19</x:v>
      </x:c>
      <x:c r="B25" s="22" t="str">
        <x:v>Thrown charge is a timed projectile and detonates once, not a melee strike</x:v>
      </x:c>
      <x:c r="C25" s="22" t="str">
        <x:v>PASS</x:v>
      </x:c>
      <x:c r="D25" s="22" t="str">
        <x:v>Moteur réel / cas préparés déclarés</x:v>
      </x:c>
      <x:c r="E25" s="22" t="str">
        <x:v>{}</x:v>
      </x:c>
    </x:row>
    <x:row r="26" ht="46" customHeight="1">
      <x:c r="A26" s="22" t="str">
        <x:v>20</x:v>
      </x:c>
      <x:c r="B26" s="22" t="str">
        <x:v>Ten deterministic CPU trials finish and the replay reconstructs each exact state</x:v>
      </x:c>
      <x:c r="C26" s="22" t="str">
        <x:v>PASS</x:v>
      </x:c>
      <x:c r="D26" s="22" t="str">
        <x:v>Moteur réel / cas préparés déclarés</x:v>
      </x:c>
      <x:c r="E26" s="22" t="str">
        <x:v>{"trials": 10, "frames": 15231, "devices": 86}</x:v>
      </x:c>
    </x:row>
    <x:row r="27" ht="46" customHeight="1">
      <x:c r="A27" s="22" t="str">
        <x:v>21</x:v>
      </x:c>
      <x:c r="B27" s="22" t="str">
        <x:v>Laboratory explicitly primes a remote fixture for the detonator, with no progression writes</x:v>
      </x:c>
      <x:c r="C27" s="22" t="str">
        <x:v>PASS</x:v>
      </x:c>
      <x:c r="D27" s="22" t="str">
        <x:v>Moteur réel / cas préparés déclarés</x:v>
      </x:c>
      <x:c r="E27" s="22" t="str">
        <x:v>{}</x:v>
      </x:c>
    </x:row>
    <x:row r="28" ht="46" customHeight="1">
      <x:c r="A28" s="22" t="str">
        <x:v>22</x:v>
      </x:c>
      <x:c r="B28" s="22" t="str">
        <x:v>Device cues render without changing objects, input state or resources</x:v>
      </x:c>
      <x:c r="C28" s="22" t="str">
        <x:v>PASS</x:v>
      </x:c>
      <x:c r="D28" s="22" t="str">
        <x:v>Moteur réel / cas préparés déclarés</x:v>
      </x:c>
      <x:c r="E28" s="22" t="str">
        <x:v>{}</x:v>
      </x:c>
    </x:row>
  </x:sheetData>
  <x:mergeCells>
    <x:mergeCell ref="A1:E2"/>
    <x:mergeCell ref="A3:E4"/>
  </x:mergeCells>
  <x:pageMargins left="0.7" right="0.7" top="0.75" bottom="0.75" header="0.3" footer="0.3"/>
  <x:tableParts count="1">
    <x:tablePart xmlns:r="http://schemas.openxmlformats.org/officeDocument/2006/relationships" r:id="Rd6c24c7b86294c7f"/>
  </x:tableParts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34" hidden="0" customWidth="1"/>
    <x:col min="3" max="3" width="70" hidden="0" customWidth="1"/>
    <x:col min="4" max="4" width="30" hidden="0" customWidth="1"/>
    <x:col min="5" max="5" width="58" hidden="0" customWidth="1"/>
    <x:col min="6" max="6" width="42" hidden="0" customWidth="1"/>
  </x:cols>
  <x:sheetData>
    <x:row r="1" ht="23" customHeight="1">
      <x:c r="A1" s="3" t="str">
        <x:v>SOURCES, CADRE ET TRAVAUX OUVERTS</x:v>
      </x:c>
      <x:c r="B1" s="3"/>
      <x:c r="C1" s="3"/>
      <x:c r="D1" s="3"/>
      <x:c r="E1" s="3"/>
      <x:c r="F1" s="3"/>
    </x:row>
    <x:row r="2" ht="23" customHeight="1">
      <x:c r="A2" s="3"/>
      <x:c r="B2" s="3"/>
      <x:c r="C2" s="3"/>
      <x:c r="D2" s="3"/>
      <x:c r="E2" s="3"/>
      <x:c r="F2" s="3"/>
    </x:row>
    <x:row r="3" ht="24" customHeight="1">
      <x:c r="A3" s="9" t="str">
        <x:v>Ce lot ferme des incohérences de mécanisme, pas la production intégrale 1:1 du combattant.</x:v>
      </x:c>
      <x:c r="B3" s="9"/>
      <x:c r="C3" s="9"/>
      <x:c r="D3" s="9"/>
      <x:c r="E3" s="9"/>
      <x:c r="F3" s="9"/>
    </x:row>
    <x:row r="4" ht="24" customHeight="1">
      <x:c r="A4" s="9"/>
      <x:c r="B4" s="9"/>
      <x:c r="C4" s="9"/>
      <x:c r="D4" s="9"/>
      <x:c r="E4" s="9"/>
      <x:c r="F4" s="9"/>
    </x:row>
    <x:row r="6" ht="30" customHeight="1">
      <x:c r="A6" s="16" t="str">
        <x:v>Type</x:v>
      </x:c>
      <x:c r="B6" s="16" t="str">
        <x:v>Objet</x:v>
      </x:c>
      <x:c r="C6" s="16" t="str">
        <x:v>URL / chemin</x:v>
      </x:c>
      <x:c r="D6" s="16" t="str">
        <x:v>Lecture / état</x:v>
      </x:c>
      <x:c r="E6" s="16" t="str">
        <x:v>Limite</x:v>
      </x:c>
      <x:c r="F6" s="16" t="str">
        <x:v>Suite</x:v>
      </x:c>
    </x:row>
    <x:row r="7" ht="84" customHeight="1">
      <x:c r="A7" s="22" t="str">
        <x:v>Source primaire — contexte</x:v>
      </x:c>
      <x:c r="B7" s="22" t="str">
        <x:v>Capcom : Chris Redfield returns…</x:v>
      </x:c>
      <x:c r="C7" s="22" t="str">
        <x:v>https://news.capcomusa.com/lets/browse/chris-redfield-returns-in-the-latest-video-for-not-a-hero-and-end-of-zoe</x:v>
      </x:c>
      <x:c r="D7" s="22" t="str">
        <x:v>Consultée le 19 octobre 2026</x:v>
      </x:c>
      <x:c r="E7" s="22" t="str">
        <x:v>Lucas et poursuite Not a Hero ; pas de moveset de duel ou de timecodes.</x:v>
      </x:c>
      <x:c r="F7" s="22" t="str">
        <x:v>OUVERT : capturer chaque action</x:v>
      </x:c>
    </x:row>
    <x:row r="8" ht="84" customHeight="1">
      <x:c r="A8" s="22" t="str">
        <x:v>Source primaire — séparation des modes</x:v>
      </x:c>
      <x:c r="B8" s="22" t="str">
        <x:v>Capcom : first Banned Footage DLC</x:v>
      </x:c>
      <x:c r="C8" s="22" t="str">
        <x:v>https://news.capcomusa.com/lets/browse/the-first-banned-footage-dlc-for-resident-evil-7-biohazard-is-out-today</x:v>
      </x:c>
      <x:c r="D8" s="22" t="str">
        <x:v>Consultée le 19 octobre 2026</x:v>
      </x:c>
      <x:c r="E8" s="22" t="str">
        <x:v>Nightmare et 21 ont des règles distinctes ; ne pas attribuer les capacités de Clancy à Lucas.</x:v>
      </x:c>
      <x:c r="F8" s="22" t="str">
        <x:v>OUVERT : toutes les commandes sont simulations</x:v>
      </x:c>
    </x:row>
    <x:row r="9" ht="84" customHeight="1">
      <x:c r="A9" s="22" t="str">
        <x:v>Héritée du dépôt</x:v>
      </x:c>
      <x:c r="B9" s="22" t="str">
        <x:v>Référence secondaire précédente</x:v>
      </x:c>
      <x:c r="C9" s="22" t="str">
        <x:v>https://blackjackrants.blogspot.com/2020/11/reviewing-monsters-resident-evil-7.html</x:v>
      </x:c>
      <x:c r="D9" s="22" t="str">
        <x:v>Non recertifiée dans cette passe</x:v>
      </x:c>
      <x:c r="E9" s="22" t="str">
        <x:v>Ne valide pas l’ancienne attribution canonical des dix boutons.</x:v>
      </x:c>
      <x:c r="F9" s="22" t="str">
        <x:v>À REVOIR</x:v>
      </x:c>
    </x:row>
    <x:row r="10" ht="84" customHeight="1">
      <x:c r="A10" s="22" t="str">
        <x:v>Code</x:v>
      </x:c>
      <x:c r="B10" s="22" t="str">
        <x:v>Profil et infrastructure R11</x:v>
      </x:c>
      <x:c r="C10" s="22" t="str">
        <x:v>scripts/apply-lucas-r11.py / src/combat-foundation-v060.js</x:v>
      </x:c>
      <x:c r="D10" s="22" t="str">
        <x:v>Produit dans cette passe</x:v>
      </x:c>
      <x:c r="E10" s="22" t="str">
        <x:v>3 dispositifs, mèches, armement et dimensions : règles inventées pour le moteur 2D.</x:v>
      </x:c>
      <x:c r="F10" s="22" t="str">
        <x:v>IMPLÉMENTÉ</x:v>
      </x:c>
    </x:row>
    <x:row r="11" ht="84" customHeight="1">
      <x:c r="A11" s="22" t="str">
        <x:v>Art</x:v>
      </x:c>
      <x:c r="B11" s="22" t="str">
        <x:v>Sprite, intro, outro et conclusions</x:v>
      </x:c>
      <x:c r="C11" s="22" t="str">
        <x:v>docs/planning/BOW_PR11_SUIVI_R10.xlsx</x:v>
      </x:c>
      <x:c r="D11" s="22" t="str">
        <x:v>Inchangés</x:v>
      </x:c>
      <x:c r="E11" s="22" t="str">
        <x:v>Aucun nouveau corps, paire anatomique ou clip final.</x:v>
      </x:c>
      <x:c r="F11" s="22" t="str">
        <x:v>OUVERT</x:v>
      </x:c>
    </x:row>
    <x:row r="12" ht="84" customHeight="1">
      <x:c r="A12" s="22" t="str">
        <x:v>Préservation</x:v>
      </x:c>
      <x:c r="B12" s="22" t="str">
        <x:v>114 autres profils + 231 prototypes</x:v>
      </x:c>
      <x:c r="C12" s="22" t="str">
        <x:v>docs/LUCAS_R11_PRESERVATION.json</x:v>
      </x:c>
      <x:c r="D12" s="22" t="str">
        <x:v>Vérifié par empreintes</x:v>
      </x:c>
      <x:c r="E12" s="22" t="str">
        <x:v>Mutation de Lucas inchangée ; ancien journal contextuel inchangé.</x:v>
      </x:c>
      <x:c r="F12" s="22" t="str">
        <x:v>PASS</x:v>
      </x:c>
    </x:row>
    <x:row r="13" ht="84" customHeight="1">
      <x:c r="A13" s="22" t="str">
        <x:v>Replays</x:v>
      </x:c>
      <x:c r="B13" s="22" t="str">
        <x:v>Compatibilité du moteur</x:v>
      </x:c>
      <x:c r="C13" s="22" t="str">
        <x:v>src/runtime-contract.js / src/catalog-replay-contract.js</x:v>
      </x:c>
      <x:c r="D13" s="22" t="str">
        <x:v>Nouvelles empreintes requises</x:v>
      </x:c>
      <x:c r="E13" s="22" t="str">
        <x:v>Fichiers anciens conservés ; utiliser leur version de jeu, sans migration silencieuse.</x:v>
      </x:c>
      <x:c r="F13" s="22" t="str">
        <x:v>À LIRE AVANT IMPORT</x:v>
      </x:c>
    </x:row>
    <x:row r="14" ht="84" customHeight="1">
      <x:c r="A14" s="22" t="str">
        <x:v>Navigateur</x:v>
      </x:c>
      <x:c r="B14" s="22" t="str">
        <x:v>HTTP dans le conteneur local</x:v>
      </x:c>
      <x:c r="C14" s="22" t="str">
        <x:v>tests/browser-lucas-r11.mjs</x:v>
      </x:c>
      <x:c r="D14" s="22" t="str">
        <x:v>Navigation locale refusée par la politique</x:v>
      </x:c>
      <x:c r="E14" s="22" t="str">
        <x:v>La CI HTTP est séparée ; consulter son résultat réel. Pas d’appareil physique certifié.</x:v>
      </x:c>
      <x:c r="F14" s="22" t="str">
        <x:v>À CONFIRMER EN CI</x:v>
      </x:c>
    </x:row>
  </x:sheetData>
  <x:mergeCells>
    <x:mergeCell ref="A1:F2"/>
    <x:mergeCell ref="A3:F4"/>
  </x:mergeCells>
  <x:pageMargins left="0.7" right="0.7" top="0.75" bottom="0.75" header="0.3" footer="0.3"/>
  <x:tableParts count="1">
    <x:tablePart xmlns:r="http://schemas.openxmlformats.org/officeDocument/2006/relationships" r:id="Rdfc36955741747c2"/>
  </x:tableParts>
</x:worksheet>
</file>