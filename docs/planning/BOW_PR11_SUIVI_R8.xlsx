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98ebac5a6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Suivi_R8" sheetId="1" r:id="R4e6d258a0ff24403"/>
    <x:sheet xmlns:r="http://schemas.openxmlformats.org/officeDocument/2006/relationships" name="01_Lots" sheetId="2" r:id="R4eaed8e1d7b14345"/>
    <x:sheet xmlns:r="http://schemas.openxmlformats.org/officeDocument/2006/relationships" name="02_References" sheetId="3" r:id="R08ae862099d2413f"/>
    <x:sheet xmlns:r="http://schemas.openxmlformats.org/officeDocument/2006/relationships" name="03_Tests" sheetId="4" r:id="R14368e99251442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5EFE1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20"/>
      <x:color rgb="FFF5EFE1"/>
      <x:name val="Carlito"/>
    </x:font>
    <x:font>
      <x:sz val="12"/>
      <x:name val="Carlito"/>
    </x:font>
    <x:font>
      <x:sz val="11"/>
      <x:color rgb="FF6B472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A2529"/>
      </x:patternFill>
    </x:fill>
    <x:fill>
      <x:patternFill patternType="solid">
        <x:fgColor rgb="FF7C2930"/>
      </x:patternFill>
    </x:fill>
    <x:fill>
      <x:patternFill patternType="solid">
        <x:fgColor rgb="FFFFF3D7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1F6546"/>
      </x:font>
      <x:fill>
        <x:patternFill patternType="solid">
          <x:bgColor rgb="FFDFEF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0e512d170742d3" /><Relationship Type="http://schemas.openxmlformats.org/officeDocument/2006/relationships/theme" Target="/xl/theme/theme1.xml" Id="R3f0382ea460c4afc" /><Relationship Type="http://schemas.openxmlformats.org/officeDocument/2006/relationships/sharedStrings" Target="/xl/sharedStrings.xml" Id="R1272007138044f0b" /><Relationship Type="http://schemas.openxmlformats.org/officeDocument/2006/relationships/worksheet" Target="/xl/worksheets/sheet1.xml" Id="R4e6d258a0ff24403" /><Relationship Type="http://schemas.openxmlformats.org/officeDocument/2006/relationships/worksheet" Target="/xl/worksheets/sheet2.xml" Id="R4eaed8e1d7b14345" /><Relationship Type="http://schemas.openxmlformats.org/officeDocument/2006/relationships/worksheet" Target="/xl/worksheets/sheet3.xml" Id="R08ae862099d2413f" /><Relationship Type="http://schemas.openxmlformats.org/officeDocument/2006/relationships/worksheet" Target="/xl/worksheets/sheet4.xml" Id="R14368e99251442c5" /></Relationships>
</file>

<file path=xl/tables/table1.xml><?xml version="1.0" encoding="utf-8"?>
<x:table xmlns:x="http://schemas.openxmlformats.org/spreadsheetml/2006/main" id="1" name="Table01Lots" displayName="Table01Lots" ref="A5:F18" headerRowCount="1" totalsRowCount="0" totalsRowShown="0">
  <x:tableColumns count="6">
    <x:tableColumn id="1" name="Lot"/>
    <x:tableColumn id="2" name="Domaine"/>
    <x:tableColumn id="3" name="Travail"/>
    <x:tableColumn id="4" name="État"/>
    <x:tableColumn id="5" name="Limite exacte"/>
    <x:tableColumn id="6" name="Preuve / destin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02References" displayName="Table02References" ref="A5:F9" headerRowCount="1" totalsRowCount="0" totalsRowShown="0">
  <x:tableColumns count="6">
    <x:tableColumn id="1" name="ID"/>
    <x:tableColumn id="2" name="Incarnation / mode"/>
    <x:tableColumn id="3" name="Source"/>
    <x:tableColumn id="4" name="Vérification"/>
    <x:tableColumn id="5" name="Ce que la source étaye"/>
    <x:tableColumn id="6" name="Ce qu'elle ne certifie pa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03Tests" displayName="Table03Tests" ref="A5:D24" headerRowCount="1" totalsRowCount="0" totalsRowShown="0">
  <x:tableColumns count="4">
    <x:tableColumn id="1" name="Contrôle"/>
    <x:tableColumn id="2" name="Description"/>
    <x:tableColumn id="3" name="Résultat"/>
    <x:tableColumn id="4" name="Type de contrô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58a5a4427a4a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3a907f3a764e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8ba469230c4ad5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7" customHeight="1">
      <x:c r="A1" s="35" t="str">
        <x:v>B.O.W. PROTOCOL / SUIVI R8</x:v>
      </x:c>
      <x:c r="B1" s="35"/>
      <x:c r="C1" s="35"/>
      <x:c r="D1" s="35"/>
      <x:c r="E1" s="35"/>
      <x:c r="F1" s="35"/>
    </x:row>
    <x:row r="2" ht="27" customHeight="1">
      <x:c r="A2" s="35"/>
      <x:c r="B2" s="35"/>
      <x:c r="C2" s="35"/>
      <x:c r="D2" s="35"/>
      <x:c r="E2" s="35"/>
      <x:c r="F2" s="35"/>
    </x:row>
    <x:row r="3">
      <x:c r="A3" s="36"/>
      <x:c r="B3" s="36"/>
      <x:c r="C3" s="36"/>
      <x:c r="D3" s="36"/>
      <x:c r="E3" s="36"/>
      <x:c r="F3" s="36"/>
    </x:row>
    <x:row r="4" ht="25" customHeight="1">
      <x:c r="A4" s="37" t="str">
        <x:v>PR #11 · Raccords de manches et de match
Gameplay 0.7.3 inchangé · Source distante de départ R7</x:v>
      </x:c>
      <x:c r="B4" s="37"/>
      <x:c r="C4" s="37"/>
      <x:c r="D4" s="37"/>
      <x:c r="E4" s="37"/>
      <x:c r="F4" s="37"/>
    </x:row>
    <x:row r="5" ht="25" customHeight="1">
      <x:c r="A5" s="37"/>
      <x:c r="B5" s="37"/>
      <x:c r="C5" s="37"/>
      <x:c r="D5" s="37"/>
      <x:c r="E5" s="37"/>
      <x:c r="F5" s="37"/>
    </x:row>
    <x:row r="6">
      <x:c r="A6" s="36"/>
      <x:c r="B6" s="36"/>
      <x:c r="C6" s="36"/>
      <x:c r="D6" s="36"/>
      <x:c r="E6" s="36"/>
      <x:c r="F6" s="36"/>
    </x:row>
    <x:row r="7" ht="27" customHeight="1">
      <x:c r="A7" s="38" t="str">
        <x:v>Indicateur</x:v>
      </x:c>
      <x:c r="B7" s="38" t="str">
        <x:v>Nombre</x:v>
      </x:c>
      <x:c r="C7" s="36"/>
      <x:c r="D7" s="38" t="str">
        <x:v>Livraison</x:v>
      </x:c>
      <x:c r="E7" s="38"/>
      <x:c r="F7" s="38" t="str">
        <x:v>Nombre</x:v>
      </x:c>
    </x:row>
    <x:row r="8" ht="28" customHeight="1">
      <x:c r="A8" s="39" t="str">
        <x:v>Corps de combat</x:v>
      </x:c>
      <x:c r="B8" s="39" t="n">
        <x:v>346</x:v>
      </x:c>
      <x:c r="C8" s="36"/>
      <x:c r="D8" s="39" t="str">
        <x:v>Raccords testés</x:v>
      </x:c>
      <x:c r="E8" s="39"/>
      <x:c r="F8" s="39" t="n">
        <x:f>COUNTIF('01_Lots'!D6:D18,"Raccord testé")</x:f>
        <x:v>6</x:v>
      </x:c>
    </x:row>
    <x:row r="9" ht="28" customHeight="1">
      <x:c r="A9" s="39" t="str">
        <x:v>Exercices contextuels</x:v>
      </x:c>
      <x:c r="B9" s="39" t="n">
        <x:v>43</x:v>
      </x:c>
      <x:c r="C9" s="36"/>
      <x:c r="D9" s="39" t="str">
        <x:v>Lots préservés</x:v>
      </x:c>
      <x:c r="E9" s="39"/>
      <x:c r="F9" s="39" t="n">
        <x:f>COUNTIF('01_Lots'!D6:D18,"Préservé")</x:f>
        <x:v>1</x:v>
      </x:c>
    </x:row>
    <x:row r="10" ht="28" customHeight="1">
      <x:c r="A10" s="39" t="str">
        <x:v>Identités du catalogue</x:v>
      </x:c>
      <x:c r="B10" s="39" t="n">
        <x:f>B8+B9</x:f>
        <x:v>389</x:v>
      </x:c>
      <x:c r="C10" s="36"/>
      <x:c r="D10" s="39" t="str">
        <x:v>Lots artistiques restants</x:v>
      </x:c>
      <x:c r="E10" s="39"/>
      <x:c r="F10" s="39" t="n">
        <x:f>COUNTIF('01_Lots'!D6:D18,"À produire")</x:f>
        <x:v>3</x:v>
      </x:c>
    </x:row>
    <x:row r="11" ht="28" customHeight="1">
      <x:c r="A11" s="39" t="str">
        <x:v>Poses R1 à produire</x:v>
      </x:c>
      <x:c r="B11" s="39" t="n">
        <x:f>B8*2</x:f>
        <x:v>692</x:v>
      </x:c>
      <x:c r="C11" s="36"/>
      <x:c r="D11" s="39" t="str">
        <x:v>Nouveaux dessins définitifs</x:v>
      </x:c>
      <x:c r="E11" s="39"/>
      <x:c r="F11" s="39" t="n">
        <x:v>0</x:v>
      </x:c>
    </x:row>
    <x:row r="12" ht="28" customHeight="1">
      <x:c r="A12" s="39" t="str">
        <x:v>Poses de match à produire</x:v>
      </x:c>
      <x:c r="B12" s="39" t="n">
        <x:f>B8*2</x:f>
        <x:v>692</x:v>
      </x:c>
      <x:c r="C12" s="36"/>
      <x:c r="D12" s="39" t="str">
        <x:v>Contrôles R8 réussis</x:v>
      </x:c>
      <x:c r="E12" s="39"/>
      <x:c r="F12" s="39" t="n">
        <x:f>COUNTIF('03_Tests'!C6:C24,"Réussi")</x:f>
        <x:v>19</x:v>
      </x:c>
    </x:row>
    <x:row r="13">
      <x:c r="A13" s="36"/>
      <x:c r="B13" s="36"/>
      <x:c r="C13" s="36"/>
      <x:c r="D13" s="36"/>
      <x:c r="E13" s="36"/>
      <x:c r="F13" s="36"/>
    </x:row>
    <x:row r="14">
      <x:c r="A14" s="36"/>
      <x:c r="B14" s="36"/>
      <x:c r="C14" s="36"/>
      <x:c r="D14" s="36"/>
      <x:c r="E14" s="36"/>
      <x:c r="F14" s="36"/>
    </x:row>
    <x:row r="15" ht="27" customHeight="1">
      <x:c r="A15" s="40" t="str">
        <x:v>LA LOGIQUE DE TRANSITION EST TESTÉE, PAS LES DESSINS 1:1.
Les états R1 ne réutilisent plus les clips de mort finale. Les 346 corps restent à documenter et à animer individuellement ; aucune nouvelle illustration n'est déclarée livrée.</x:v>
      </x:c>
      <x:c r="B15" s="40"/>
      <x:c r="C15" s="40"/>
      <x:c r="D15" s="40"/>
      <x:c r="E15" s="40"/>
      <x:c r="F15" s="40"/>
    </x:row>
    <x:row r="16" ht="27" customHeight="1">
      <x:c r="A16" s="40"/>
      <x:c r="B16" s="40"/>
      <x:c r="C16" s="40"/>
      <x:c r="D16" s="40"/>
      <x:c r="E16" s="40"/>
      <x:c r="F16" s="40"/>
    </x:row>
    <x:row r="17" ht="27" customHeight="1">
      <x:c r="A17" s="40"/>
      <x:c r="B17" s="40"/>
      <x:c r="C17" s="40"/>
      <x:c r="D17" s="40"/>
      <x:c r="E17" s="40"/>
      <x:c r="F17" s="40"/>
    </x:row>
    <x:row r="18">
      <x:c r="A18" s="36"/>
      <x:c r="B18" s="36"/>
      <x:c r="C18" s="36"/>
      <x:c r="D18" s="36"/>
      <x:c r="E18" s="36"/>
      <x:c r="F18" s="36"/>
    </x:row>
    <x:row r="19">
      <x:c r="A19" s="36"/>
      <x:c r="B19" s="36"/>
      <x:c r="C19" s="36"/>
      <x:c r="D19" s="36"/>
      <x:c r="E19" s="36"/>
      <x:c r="F19" s="36"/>
    </x:row>
    <x:row r="20" ht="24" customHeight="1">
      <x:c r="A20" s="39" t="str">
        <x:v>Le classeur maître phase 1 reste inchangé : 21 onglets. L'onglet 02_References donne son lien Drive.
Ce fichier est le suivi complémentaire des raccords R8 ; les tâches d'art, de sources et de movesets ne sont pas clôturées artificiellement.</x:v>
      </x:c>
      <x:c r="B20" s="39"/>
      <x:c r="C20" s="39"/>
      <x:c r="D20" s="39"/>
      <x:c r="E20" s="39"/>
      <x:c r="F20" s="39"/>
    </x:row>
    <x:row r="21" ht="24" customHeight="1">
      <x:c r="A21" s="39"/>
      <x:c r="B21" s="39"/>
      <x:c r="C21" s="39"/>
      <x:c r="D21" s="39"/>
      <x:c r="E21" s="39"/>
      <x:c r="F21" s="39"/>
    </x:row>
    <x:row r="22" ht="24" customHeight="1">
      <x:c r="A22" s="39"/>
      <x:c r="B22" s="39"/>
      <x:c r="C22" s="39"/>
      <x:c r="D22" s="39"/>
      <x:c r="E22" s="39"/>
      <x:c r="F22" s="39"/>
    </x:row>
    <x:row r="23">
      <x:c r="A23" s="36"/>
      <x:c r="B23" s="36"/>
      <x:c r="C23" s="36"/>
      <x:c r="D23" s="36"/>
      <x:c r="E23" s="36"/>
      <x:c r="F23" s="36"/>
    </x:row>
  </x:sheetData>
  <x:mergeCells>
    <x:mergeCell ref="A1:F2"/>
    <x:mergeCell ref="A4:F5"/>
    <x:mergeCell ref="A15:F17"/>
    <x:mergeCell ref="A20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40" hidden="0" customWidth="1"/>
    <x:col min="4" max="4" width="20" hidden="0" customWidth="1"/>
    <x:col min="5" max="5" width="40" hidden="0" customWidth="1"/>
    <x:col min="6" max="6" width="40" hidden="0" customWidth="1"/>
  </x:cols>
  <x:sheetData>
    <x:row r="1" ht="25" customHeight="1">
      <x:c r="A1" s="3" t="str">
        <x:v>LOTS R8 · RACCORDS ET TRAVAIL GRAPHIQUE</x:v>
      </x:c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5" ht="29" customHeight="1">
      <x:c r="A5" s="8" t="str">
        <x:v>Lot</x:v>
      </x:c>
      <x:c r="B5" s="8" t="str">
        <x:v>Domaine</x:v>
      </x:c>
      <x:c r="C5" s="8" t="str">
        <x:v>Travail</x:v>
      </x:c>
      <x:c r="D5" s="8" t="str">
        <x:v>État</x:v>
      </x:c>
      <x:c r="E5" s="8" t="str">
        <x:v>Limite exacte</x:v>
      </x:c>
      <x:c r="F5" s="8" t="str">
        <x:v>Preuve / destination</x:v>
      </x:c>
    </x:row>
    <x:row r="6" ht="58" customHeight="1">
      <x:c r="A6" s="14" t="str">
        <x:v>R8-01</x:v>
      </x:c>
      <x:c r="B6" s="14" t="str">
        <x:v>Fin de manche</x:v>
      </x:c>
      <x:c r="C6" s="14" t="str">
        <x:v>Victoire / défaite R1 distinctes du match</x:v>
      </x:c>
      <x:c r="D6" s="14" t="str">
        <x:v>Raccord testé</x:v>
      </x:c>
      <x:c r="E6" s="14" t="str">
        <x:v>Aucun dessin ajouté</x:v>
      </x:c>
      <x:c r="F6" s="14" t="str">
        <x:v>src/round-presentation-r8.js</x:v>
      </x:c>
    </x:row>
    <x:row r="7" ht="58" customHeight="1">
      <x:c r="A7" s="14" t="str">
        <x:v>R8-02</x:v>
      </x:c>
      <x:c r="B7" s="14" t="str">
        <x:v>Égalité</x:v>
      </x:c>
      <x:c r="C7" s="14" t="str">
        <x:v>Aucun vainqueur en double KO ou temps égal</x:v>
      </x:c>
      <x:c r="D7" s="14" t="str">
        <x:v>Raccord testé</x:v>
      </x:c>
      <x:c r="E7" s="14" t="str">
        <x:v>Règle 2D, pas une scène canonique</x:v>
      </x:c>
      <x:c r="F7" s="14" t="str">
        <x:v>docs/ROUND_PRESENTATION_R8_TESTS.json</x:v>
      </x:c>
    </x:row>
    <x:row r="8" ht="58" customHeight="1">
      <x:c r="A8" s="14" t="str">
        <x:v>R8-03</x:v>
      </x:c>
      <x:c r="B8" s="14" t="str">
        <x:v>Fin de match</x:v>
      </x:c>
      <x:c r="C8" s="14" t="str">
        <x:v>États finaux seulement après finished=true</x:v>
      </x:c>
      <x:c r="D8" s="14" t="str">
        <x:v>Raccord testé</x:v>
      </x:c>
      <x:c r="E8" s="14" t="str">
        <x:v>Pas de mort finale empruntée pour R1</x:v>
      </x:c>
      <x:c r="F8" s="14" t="str">
        <x:v>src/round-presentation-r8.js</x:v>
      </x:c>
    </x:row>
    <x:row r="9" ht="58" customHeight="1">
      <x:c r="A9" s="14" t="str">
        <x:v>R8-04</x:v>
      </x:c>
      <x:c r="B9" s="14" t="str">
        <x:v>Introduction</x:v>
      </x:c>
      <x:c r="C9" s="14" t="str">
        <x:v>Entrée du premier round ; autres manches séparées</x:v>
      </x:c>
      <x:c r="D9" s="14" t="str">
        <x:v>Raccord testé</x:v>
      </x:c>
      <x:c r="E9" s="14" t="str">
        <x:v>Séquence source à relever par incarnation</x:v>
      </x:c>
      <x:c r="F9" s="14" t="str">
        <x:v>src/round-presentation-r8.js</x:v>
      </x:c>
    </x:row>
    <x:row r="10" ht="58" customHeight="1">
      <x:c r="A10" s="14" t="str">
        <x:v>R8-05</x:v>
      </x:c>
      <x:c r="B10" s="14" t="str">
        <x:v>Atelier</x:v>
      </x:c>
      <x:c r="C10" s="14" t="str">
        <x:v>7 nouveaux états présentables, sans synthèse de frames</x:v>
      </x:c>
      <x:c r="D10" s="14" t="str">
        <x:v>Raccord testé</x:v>
      </x:c>
      <x:c r="E10" s="14" t="str">
        <x:v>Intros/outros définitives à produire</x:v>
      </x:c>
      <x:c r="F10" s="14" t="str">
        <x:v>directions.html</x:v>
      </x:c>
    </x:row>
    <x:row r="11" ht="58" customHeight="1">
      <x:c r="A11" s="14" t="str">
        <x:v>R8-06</x:v>
      </x:c>
      <x:c r="B11" s="14" t="str">
        <x:v>Horloges</x:v>
      </x:c>
      <x:c r="C11" s="14" t="str">
        <x:v>Pause, reprise, retour temporel et manches répétées</x:v>
      </x:c>
      <x:c r="D11" s="14" t="str">
        <x:v>Raccord testé</x:v>
      </x:c>
      <x:c r="E11" s="14" t="str">
        <x:v>Temps de simulation uniquement</x:v>
      </x:c>
      <x:c r="F11" s="14" t="str">
        <x:v>src/fighter-directions.js</x:v>
      </x:c>
    </x:row>
    <x:row r="12" ht="58" customHeight="1">
      <x:c r="A12" s="14" t="str">
        <x:v>R8-07</x:v>
      </x:c>
      <x:c r="B12" s="14" t="str">
        <x:v>Sauvegardes / replay</x:v>
      </x:c>
      <x:c r="C12" s="14" t="str">
        <x:v>12 fichiers de gameplay et contrats inchangés</x:v>
      </x:c>
      <x:c r="D12" s="14" t="str">
        <x:v>Préservé</x:v>
      </x:c>
      <x:c r="E12" s="14" t="str">
        <x:v>Aucune migration ni modification de statistiques</x:v>
      </x:c>
      <x:c r="F12" s="14" t="str">
        <x:v>docs/ROUND_PRESENTATION_R8_BASELINE.json</x:v>
      </x:c>
    </x:row>
    <x:row r="13" ht="58" customHeight="1">
      <x:c r="A13" s="14" t="str">
        <x:v>R8-08</x:v>
      </x:c>
      <x:c r="B13" s="14" t="str">
        <x:v>Animations R1</x:v>
      </x:c>
      <x:c r="C13" s="14" t="str">
        <x:v>Dessiner et référencer les 692 poses R1</x:v>
      </x:c>
      <x:c r="D13" s="14" t="str">
        <x:v>À produire</x:v>
      </x:c>
      <x:c r="E13" s="14" t="str">
        <x:v>346 victoire + 346 défaite ; aucun clip livré</x:v>
      </x:c>
      <x:c r="F13" s="14" t="str">
        <x:v>08_Poses_Manches / classeur maître</x:v>
      </x:c>
    </x:row>
    <x:row r="14" ht="58" customHeight="1">
      <x:c r="A14" s="14" t="str">
        <x:v>R8-09</x:v>
      </x:c>
      <x:c r="B14" s="14" t="str">
        <x:v>Animations finales</x:v>
      </x:c>
      <x:c r="C14" s="14" t="str">
        <x:v>Dessiner et référencer les 692 poses de match</x:v>
      </x:c>
      <x:c r="D14" s="14" t="str">
        <x:v>À produire</x:v>
      </x:c>
      <x:c r="E14" s="14" t="str">
        <x:v>Les poses héritées ne certifient pas une scène 1:1</x:v>
      </x:c>
      <x:c r="F14" s="14" t="str">
        <x:v>08_Poses_Manches / classeur maître</x:v>
      </x:c>
    </x:row>
    <x:row r="15" ht="58" customHeight="1">
      <x:c r="A15" s="14" t="str">
        <x:v>R8-10</x:v>
      </x:c>
      <x:c r="B15" s="14" t="str">
        <x:v>Movesets</x:v>
      </x:c>
      <x:c r="C15" s="14" t="str">
        <x:v>Répertoire complet de chaque incarnation</x:v>
      </x:c>
      <x:c r="D15" s="14" t="str">
        <x:v>À référencer</x:v>
      </x:c>
      <x:c r="E15" s="14" t="str">
        <x:v>Ne pas limiter la recherche à 10 commandes</x:v>
      </x:c>
      <x:c r="F15" s="14" t="str">
        <x:v>03_Movesets / classeur maître</x:v>
      </x:c>
    </x:row>
    <x:row r="16" ht="58" customHeight="1">
      <x:c r="A16" s="14" t="str">
        <x:v>R8-11</x:v>
      </x:c>
      <x:c r="B16" s="14" t="str">
        <x:v>Supers</x:v>
      </x:c>
      <x:c r="C16" s="14" t="str">
        <x:v>Attaque majeure + distinction campagne/mode bonus</x:v>
      </x:c>
      <x:c r="D16" s="14" t="str">
        <x:v>À référencer</x:v>
      </x:c>
      <x:c r="E16" s="14" t="str">
        <x:v>Aucune jauge de Mercenaires importée tacitement</x:v>
      </x:c>
      <x:c r="F16" s="14" t="str">
        <x:v>04_Supers / classeur maître</x:v>
      </x:c>
    </x:row>
    <x:row r="17" ht="58" customHeight="1">
      <x:c r="A17" s="14" t="str">
        <x:v>R8-12</x:v>
      </x:c>
      <x:c r="B17" s="14" t="str">
        <x:v>Conclusions</x:v>
      </x:c>
      <x:c r="C17" s="14" t="str">
        <x:v>Mises à mort sourcées et victimes compatibles</x:v>
      </x:c>
      <x:c r="D17" s="14" t="str">
        <x:v>À référencer</x:v>
      </x:c>
      <x:c r="E17" s="14" t="str">
        <x:v>Un finisher de versus n'est pas une mort canonique</x:v>
      </x:c>
      <x:c r="F17" s="14" t="str">
        <x:v>06_Conclusions_plan / classeur maître</x:v>
      </x:c>
    </x:row>
    <x:row r="18" ht="58" customHeight="1">
      <x:c r="A18" s="14" t="str">
        <x:v>R8-13</x:v>
      </x:c>
      <x:c r="B18" s="14" t="str">
        <x:v>Stages</x:v>
      </x:c>
      <x:c r="C18" s="14" t="str">
        <x:v>Boucles, lumière, eau et machinerie par lieu</x:v>
      </x:c>
      <x:c r="D18" s="14" t="str">
        <x:v>À produire</x:v>
      </x:c>
      <x:c r="E18" s="14" t="str">
        <x:v>Pas de nouvelles animations de stage dans R8</x:v>
      </x:c>
      <x:c r="F18" s="14" t="str">
        <x:v>11_Stages_Anim / classeur maître</x:v>
      </x:c>
    </x:row>
  </x:sheetData>
  <x:mergeCells>
    <x:mergeCell ref="A1:F2"/>
  </x:mergeCells>
  <x:conditionalFormatting sqref="D6:D18">
    <x:cfRule type="expression" dxfId="0" priority="1">
      <x:formula>D6="Raccord testé"</x:formula>
    </x:cfRule>
  </x:conditionalFormatting>
  <x:dataValidations count="1">
    <x:dataValidation type="list" sqref="D6:D18">
      <x:formula1>"Raccord testé,Préservé,À produire,À référencer,À corriger"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58a5a4427a4a06"/>
  </x:tableParts>
</x:worksheet>
</file>

<file path=xl/worksheets/sheet3.xml><?xml version="1.0" encoding="utf-8"?>
<x:worksheet xmlns:x="http://schemas.openxmlformats.org/spreadsheetml/2006/main">
  <x:sheetViews>
    <x:sheetView workbookViewId="0">
      <x:pane xSplit="1" ySplit="5" topLeftCell="B6" activePane="bottomRight" state="frozen"/>
    </x:sheetView>
  </x:sheetViews>
  <x:sheetFormatPr defaultRowHeight="15"/>
  <x:cols>
    <x:col min="1" max="1" width="23" hidden="0" customWidth="1"/>
    <x:col min="2" max="2" width="30" hidden="0" customWidth="1"/>
    <x:col min="3" max="3" width="40" hidden="0" customWidth="1"/>
    <x:col min="4" max="4" width="29" hidden="0" customWidth="1"/>
    <x:col min="5" max="5" width="40" hidden="0" customWidth="1"/>
    <x:col min="6" max="6" width="40" hidden="0" customWidth="1"/>
  </x:cols>
  <x:sheetData>
    <x:row r="1" ht="25" customHeight="1">
      <x:c r="A1" s="3" t="str">
        <x:v>SOURCES · PORTÉE EXACTE</x:v>
      </x:c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5" ht="29" customHeight="1">
      <x:c r="A5" s="8" t="str">
        <x:v>ID</x:v>
      </x:c>
      <x:c r="B5" s="8" t="str">
        <x:v>Incarnation / mode</x:v>
      </x:c>
      <x:c r="C5" s="8" t="str">
        <x:v>Source</x:v>
      </x:c>
      <x:c r="D5" s="8" t="str">
        <x:v>Vérification</x:v>
      </x:c>
      <x:c r="E5" s="8" t="str">
        <x:v>Ce que la source étaye</x:v>
      </x:c>
      <x:c r="F5" s="8" t="str">
        <x:v>Ce qu'elle ne certifie pas</x:v>
      </x:c>
    </x:row>
    <x:row r="6" ht="58" customHeight="1">
      <x:c r="A6" s="14" t="str">
        <x:v>CAPCOM-RE5-EXEC</x:v>
      </x:c>
      <x:c r="B6" s="14" t="str">
        <x:v>Executioner Majini — RE5</x:v>
      </x:c>
      <x:c r="C6" s="14" t="str">
        <x:v>https://game.capcom.com/residentevil/en/exfile-1-5.html</x:v>
      </x:c>
      <x:c r="D6" s="14" t="str">
        <x:v>Description primaire consultée</x:v>
      </x:c>
      <x:c r="E6" s="14" t="str">
        <x:v>Plaga type 2 ; force et hache à lame de guillotine</x:v>
      </x:c>
      <x:c r="F6" s="14" t="str">
        <x:v>Ne prouve ni valeurs, ni toutes les animations, ni une pose R1</x:v>
      </x:c>
    </x:row>
    <x:row r="7" ht="58" customHeight="1">
      <x:c r="A7" s="14" t="str">
        <x:v>CAPCOM-RE3-NEM</x:v>
      </x:c>
      <x:c r="B7" s="14" t="str">
        <x:v>Nemesis — RE3 remake / Resistance</x:v>
      </x:c>
      <x:c r="C7" s="14" t="str">
        <x:v>https://blog.playstation.com/archive/2020/05/15/making-a-monster-how-nemesis-was-brought-to-terrifying-life-in-resident-evil-3/</x:v>
      </x:c>
      <x:c r="D7" s="14" t="str">
        <x:v>Entretien primaire consulté</x:v>
      </x:c>
      <x:c r="E7" s="14" t="str">
        <x:v>Incarnations et sélection d'attaques de Resistance distinctes</x:v>
      </x:c>
      <x:c r="F7" s="14" t="str">
        <x:v>Ne pas attribuer automatiquement le cri paralysant de Resistance à RE3</x:v>
      </x:c>
    </x:row>
    <x:row r="8" ht="58" customHeight="1">
      <x:c r="A8" s="14" t="str">
        <x:v>CAPCOM-VILLAGE-MERC</x:v>
      </x:c>
      <x:c r="B8" s="14" t="str">
        <x:v>Village — Mercenaries Additional Orders</x:v>
      </x:c>
      <x:c r="C8" s="14" t="str">
        <x:v>https://blog.playstation.com/2022/07/21/new-re-village-the-mercenaries-additional-orders-details-revealed/</x:v>
      </x:c>
      <x:c r="D8" s="14" t="str">
        <x:v>Présentation primaire consultée</x:v>
      </x:c>
      <x:c r="E8" s="14" t="str">
        <x:v>Jauges et capacités décrites pour le mode Mercenaires</x:v>
      </x:c>
      <x:c r="F8" s="14" t="str">
        <x:v>Pas un répertoire des formes mutées des boss de campagne</x:v>
      </x:c>
    </x:row>
    <x:row r="9" ht="58" customHeight="1">
      <x:c r="A9" s="14" t="str">
        <x:v>PLAN-P1</x:v>
      </x:c>
      <x:c r="B9" s="14" t="str">
        <x:v>Classeur maître, 21 onglets</x:v>
      </x:c>
      <x:c r="C9" s="14" t="str">
        <x:v>https://docs.google.com/spreadsheets/d/1hMM8QJP4YIfkJXFX7-SNEq_TVxEsg0q1/edit</x:v>
      </x:c>
      <x:c r="D9" s="14" t="str">
        <x:v>Fichier Drive identifié</x:v>
      </x:c>
      <x:c r="E9" s="14" t="str">
        <x:v>Inventaire 346 corps / 43 exercices / 52 stages</x:v>
      </x:c>
      <x:c r="F9" s="14" t="str">
        <x:v>Conservé sans modification ; ce suivi ne remplace pas les lots par combattant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413a907f3a764ed2"/>
  </x:tableParts>
</x:worksheet>
</file>

<file path=xl/worksheets/sheet4.xml><?xml version="1.0" encoding="utf-8"?>
<x:worksheet xmlns:x="http://schemas.openxmlformats.org/spreadsheetml/2006/main">
  <x:sheetViews>
    <x:sheetView workbookViewId="0">
      <x:pane xSplit="1" ySplit="5" topLeftCell="B6" activePane="bottomRight" state="frozen"/>
    </x:sheetView>
  </x:sheetViews>
  <x:sheetFormatPr defaultRowHeight="15"/>
  <x:cols>
    <x:col min="1" max="1" width="17" hidden="0" customWidth="1"/>
    <x:col min="2" max="2" width="70" hidden="0" customWidth="1"/>
    <x:col min="3" max="3" width="18" hidden="0" customWidth="1"/>
    <x:col min="4" max="4" width="42" hidden="0" customWidth="1"/>
  </x:cols>
  <x:sheetData>
    <x:row r="1" ht="25" customHeight="1">
      <x:c r="A1" s="3" t="str">
        <x:v>VALIDATION R8 · 19 GROUPES</x:v>
      </x:c>
      <x:c r="B1" s="3"/>
      <x:c r="C1" s="3"/>
      <x:c r="D1" s="3"/>
    </x:row>
    <x:row r="2" ht="25" customHeight="1">
      <x:c r="A2" s="3"/>
      <x:c r="B2" s="3"/>
      <x:c r="C2" s="3"/>
      <x:c r="D2" s="3"/>
    </x:row>
    <x:row r="5" ht="29" customHeight="1">
      <x:c r="A5" s="8" t="str">
        <x:v>Contrôle</x:v>
      </x:c>
      <x:c r="B5" s="8" t="str">
        <x:v>Description</x:v>
      </x:c>
      <x:c r="C5" s="8" t="str">
        <x:v>Résultat</x:v>
      </x:c>
      <x:c r="D5" s="8" t="str">
        <x:v>Type de contrôle</x:v>
      </x:c>
    </x:row>
    <x:row r="6" ht="58" customHeight="1">
      <x:c r="A6" s="14" t="str">
        <x:v>R8-QA-01</x:v>
      </x:c>
      <x:c r="B6" s="14" t="str">
        <x:v>Seven explicit presentation states coexist with eleven legacy states and ten commands</x:v>
      </x:c>
      <x:c r="C6" s="14" t="str">
        <x:v>Réussi</x:v>
      </x:c>
      <x:c r="D6" s="14" t="str">
        <x:v>Test synthétique + code réel</x:v>
      </x:c>
    </x:row>
    <x:row r="7" ht="58" customHeight="1">
      <x:c r="A7" s="14" t="str">
        <x:v>R8-QA-02</x:v>
      </x:c>
      <x:c r="B7" s="14" t="str">
        <x:v>R1 victory and defeat remain nonterminal even while the loser is knocked down</x:v>
      </x:c>
      <x:c r="C7" s="14" t="str">
        <x:v>Réussi</x:v>
      </x:c>
      <x:c r="D7" s="14" t="str">
        <x:v>Test synthétique + code réel</x:v>
      </x:c>
    </x:row>
    <x:row r="8" ht="58" customHeight="1">
      <x:c r="A8" s="14" t="str">
        <x:v>R8-QA-03</x:v>
      </x:c>
      <x:c r="B8" s="14" t="str">
        <x:v>Sudden-death first round still waits for actual match completion</x:v>
      </x:c>
      <x:c r="C8" s="14" t="str">
        <x:v>Réussi</x:v>
      </x:c>
      <x:c r="D8" s="14" t="str">
        <x:v>Test synthétique + code réel</x:v>
      </x:c>
    </x:row>
    <x:row r="9" ht="58" customHeight="1">
      <x:c r="A9" s="14" t="str">
        <x:v>R8-QA-04</x:v>
      </x:c>
      <x:c r="B9" s="14" t="str">
        <x:v>All 346 bodies resolve each requested ending without borrowing a death clip for R1</x:v>
      </x:c>
      <x:c r="C9" s="14" t="str">
        <x:v>Réussi</x:v>
      </x:c>
      <x:c r="D9" s="14" t="str">
        <x:v>Test synthétique + code réel</x:v>
      </x:c>
    </x:row>
    <x:row r="10" ht="58" customHeight="1">
      <x:c r="A10" s="14" t="str">
        <x:v>R8-QA-05</x:v>
      </x:c>
      <x:c r="B10" s="14" t="str">
        <x:v>A legacy lose clip is eligible for match loss, never for round loss</x:v>
      </x:c>
      <x:c r="C10" s="14" t="str">
        <x:v>Réussi</x:v>
      </x:c>
      <x:c r="D10" s="14" t="str">
        <x:v>Test synthétique + code réel</x:v>
      </x:c>
    </x:row>
    <x:row r="11" ht="58" customHeight="1">
      <x:c r="A11" s="14" t="str">
        <x:v>R8-QA-06</x:v>
      </x:c>
      <x:c r="B11" s="14" t="str">
        <x:v>Dedicated round pose supersedes only its own state</x:v>
      </x:c>
      <x:c r="C11" s="14" t="str">
        <x:v>Réussi</x:v>
      </x:c>
      <x:c r="D11" s="14" t="str">
        <x:v>Test synthétique + code réel</x:v>
      </x:c>
    </x:row>
    <x:row r="12" ht="58" customHeight="1">
      <x:c r="A12" s="14" t="str">
        <x:v>R8-QA-07</x:v>
      </x:c>
      <x:c r="B12" s="14" t="str">
        <x:v>First match intro is distinct from subsequent round preparation</x:v>
      </x:c>
      <x:c r="C12" s="14" t="str">
        <x:v>Réussi</x:v>
      </x:c>
      <x:c r="D12" s="14" t="str">
        <x:v>Test synthétique + code réel</x:v>
      </x:c>
    </x:row>
    <x:row r="13" ht="58" customHeight="1">
      <x:c r="A13" s="14" t="str">
        <x:v>R8-QA-08</x:v>
      </x:c>
      <x:c r="B13" s="14" t="str">
        <x:v>Double KO and equal-timeout states do not assign a winner</x:v>
      </x:c>
      <x:c r="C13" s="14" t="str">
        <x:v>Réussi</x:v>
      </x:c>
      <x:c r="D13" s="14" t="str">
        <x:v>Test synthétique + code réel</x:v>
      </x:c>
    </x:row>
    <x:row r="14" ht="58" customHeight="1">
      <x:c r="A14" s="14" t="str">
        <x:v>R8-QA-09</x:v>
      </x:c>
      <x:c r="B14" s="14" t="str">
        <x:v>A timeout loser still alive is not promoted to a corpse by decoration</x:v>
      </x:c>
      <x:c r="C14" s="14" t="str">
        <x:v>Réussi</x:v>
      </x:c>
      <x:c r="D14" s="14" t="str">
        <x:v>Test synthétique + code réel</x:v>
      </x:c>
    </x:row>
    <x:row r="15" ht="58" customHeight="1">
      <x:c r="A15" s="14" t="str">
        <x:v>R8-QA-10</x:v>
      </x:c>
      <x:c r="B15" s="14" t="str">
        <x:v>End state masks stale attacking or locomotion flags without writing the actual actor</x:v>
      </x:c>
      <x:c r="C15" s="14" t="str">
        <x:v>Réussi</x:v>
      </x:c>
      <x:c r="D15" s="14" t="str">
        <x:v>Test synthétique + code réel</x:v>
      </x:c>
    </x:row>
    <x:row r="16" ht="58" customHeight="1">
      <x:c r="A16" s="14" t="str">
        <x:v>R8-QA-11</x:v>
      </x:c>
      <x:c r="B16" s="14" t="str">
        <x:v>Presentation tick follows exact round event, pause and backward seek</x:v>
      </x:c>
      <x:c r="C16" s="14" t="str">
        <x:v>Réussi</x:v>
      </x:c>
      <x:c r="D16" s="14" t="str">
        <x:v>Test synthétique + code réel</x:v>
      </x:c>
    </x:row>
    <x:row r="17" ht="58" customHeight="1">
      <x:c r="A17" s="14" t="str">
        <x:v>R8-QA-12</x:v>
      </x:c>
      <x:c r="B17" s="14" t="str">
        <x:v>Repeated round victories restart their clocks through an explicit token</x:v>
      </x:c>
      <x:c r="C17" s="14" t="str">
        <x:v>Réussi</x:v>
      </x:c>
      <x:c r="D17" s="14" t="str">
        <x:v>Test synthétique + code réel</x:v>
      </x:c>
    </x:row>
    <x:row r="18" ht="58" customHeight="1">
      <x:c r="A18" s="14" t="str">
        <x:v>R8-QA-13</x:v>
      </x:c>
      <x:c r="B18" s="14" t="str">
        <x:v>Foreign, stale or copied actors cannot borrow a real match ending</x:v>
      </x:c>
      <x:c r="C18" s="14" t="str">
        <x:v>Réussi</x:v>
      </x:c>
      <x:c r="D18" s="14" t="str">
        <x:v>Test synthétique + code réel</x:v>
      </x:c>
    </x:row>
    <x:row r="19" ht="58" customHeight="1">
      <x:c r="A19" s="14" t="str">
        <x:v>R8-QA-14</x:v>
      </x:c>
      <x:c r="B19" s="14" t="str">
        <x:v>Training, incomplete matches and invalid winners do not create a terminal presentation</x:v>
      </x:c>
      <x:c r="C19" s="14" t="str">
        <x:v>Réussi</x:v>
      </x:c>
      <x:c r="D19" s="14" t="str">
        <x:v>Test synthétique + code réel</x:v>
      </x:c>
    </x:row>
    <x:row r="20" ht="58" customHeight="1">
      <x:c r="A20" s="14" t="str">
        <x:v>R8-QA-15</x:v>
      </x:c>
      <x:c r="B20" s="14" t="str">
        <x:v>Explicit atelier and cinematic pose requests remain independent of live match lookup</x:v>
      </x:c>
      <x:c r="C20" s="14" t="str">
        <x:v>Réussi</x:v>
      </x:c>
      <x:c r="D20" s="14" t="str">
        <x:v>Test synthétique + code réel</x:v>
      </x:c>
    </x:row>
    <x:row r="21" ht="58" customHeight="1">
      <x:c r="A21" s="14" t="str">
        <x:v>R8-QA-16</x:v>
      </x:c>
      <x:c r="B21" s="14" t="str">
        <x:v>CPU match passes R1, resets actors and produces final match states without sampling changing it</x:v>
      </x:c>
      <x:c r="C21" s="14" t="str">
        <x:v>Réussi</x:v>
      </x:c>
      <x:c r="D21" s="14" t="str">
        <x:v>Duel CPU complet, plusieurs manches</x:v>
      </x:c>
    </x:row>
    <x:row r="22" ht="58" customHeight="1">
      <x:c r="A22" s="14" t="str">
        <x:v>R8-QA-17</x:v>
      </x:c>
      <x:c r="B22" s="14" t="str">
        <x:v>Actual Versus uses presentation module and never offers a finisher in nonterminal R1</x:v>
      </x:c>
      <x:c r="C22" s="14" t="str">
        <x:v>Réussi</x:v>
      </x:c>
      <x:c r="D22" s="14" t="str">
        <x:v>Test synthétique + code réel</x:v>
      </x:c>
    </x:row>
    <x:row r="23" ht="58" customHeight="1">
      <x:c r="A23" s="14" t="str">
        <x:v>R8-QA-18</x:v>
      </x:c>
      <x:c r="B23" s="14" t="str">
        <x:v>Atelier exposes reversible R1 poses separately from final ones for real subject links</x:v>
      </x:c>
      <x:c r="C23" s="14" t="str">
        <x:v>Réussi</x:v>
      </x:c>
      <x:c r="D23" s="14" t="str">
        <x:v>Test synthétique + code réel</x:v>
      </x:c>
    </x:row>
    <x:row r="24" ht="58" customHeight="1">
      <x:c r="A24" s="14" t="str">
        <x:v>R8-QA-19</x:v>
      </x:c>
      <x:c r="B24" s="14" t="str">
        <x:v>Twelve gameplay/identity/contract files remain byte-identical to the verified R7 base</x:v>
      </x:c>
      <x:c r="C24" s="14" t="str">
        <x:v>Réussi</x:v>
      </x:c>
      <x:c r="D24" s="14" t="str">
        <x:v>Test synthétique + code réel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fc8ba469230c4ad5"/>
  </x:tableParts>
</x:worksheet>
</file>